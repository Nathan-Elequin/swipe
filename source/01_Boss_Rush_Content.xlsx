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Content (Mobs, Items)" sheetId="1" r:id="rId4"/>
    <sheet state="visible" name="filter_active_content" sheetId="2" r:id="rId5"/>
    <sheet state="visible" name="Tier Counts" sheetId="3" r:id="rId6"/>
    <sheet state="visible" name="Patch Notes" sheetId="4" r:id="rId7"/>
    <sheet state="visible" name="Resolving Stuff" sheetId="5" r:id="rId8"/>
    <sheet state="visible" name="Function Flow" sheetId="6" r:id="rId9"/>
    <sheet state="hidden" name="Keywords"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"Place the monster in your dungeon"</t>
      </text>
    </comment>
    <comment authorId="0" ref="H6">
      <text>
        <t xml:space="preserve">"Choose which room to remove."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1">
      <text>
        <t xml:space="preserve">I intentionally wrote this logic so that it can perform this 'task' every single time a monster is added to the wheel, without it messing with the intended results (like accidentally adding multiple times).</t>
      </text>
    </comment>
    <comment authorId="0" ref="E23">
      <text>
        <t xml:space="preserve">[Neighbors' lowest HP] compares all neighbors and takes the lowest HP value based on what is currently present.
If only 1 neighbor, always takes its HP value.</t>
      </text>
    </comment>
    <comment authorId="0" ref="E24">
      <text>
        <t xml:space="preserve">[Neighbors' highest ATK] compares all neighbors and takes the highest ATK value based on what is currently present.
If only 1 neighbor, always takes its ATK value.</t>
      </text>
    </comment>
    <comment authorId="0" ref="E34">
      <text>
        <t xml:space="preserve">This will store the player's (HP) during [Resolve Spin Variables]. Later, during [Resolve Combat], this will check if the player's HP is less than this stored value in order to retain Breastplate.</t>
      </text>
    </comment>
    <comment authorId="0" ref="E37">
      <text>
        <t xml:space="preserve">(Last Mob ATK) should actually store the enemy's ATK, but NOT update "Grimoire" until after [Combat Resolve].
The reason for this is so Grimoire does not show use the CURRENT enemy's ATK, but the previous enemy's ATK.</t>
      </text>
    </comment>
  </commentList>
</comments>
</file>

<file path=xl/sharedStrings.xml><?xml version="1.0" encoding="utf-8"?>
<sst xmlns="http://schemas.openxmlformats.org/spreadsheetml/2006/main" count="819" uniqueCount="395">
  <si>
    <t>Dev?</t>
  </si>
  <si>
    <t>Hide?</t>
  </si>
  <si>
    <t>Type</t>
  </si>
  <si>
    <t>Name</t>
  </si>
  <si>
    <t>Priority</t>
  </si>
  <si>
    <t>Starter?</t>
  </si>
  <si>
    <t>Tier</t>
  </si>
  <si>
    <t>Count</t>
  </si>
  <si>
    <t>ATK</t>
  </si>
  <si>
    <t>HP</t>
  </si>
  <si>
    <t>Ability</t>
  </si>
  <si>
    <t>Updated by...</t>
  </si>
  <si>
    <t>(when updated)</t>
  </si>
  <si>
    <t>Updates...</t>
  </si>
  <si>
    <t>(when updates)</t>
  </si>
  <si>
    <t>Special Function</t>
  </si>
  <si>
    <t>Defined</t>
  </si>
  <si>
    <t>Exceptions / Edge Cases</t>
  </si>
  <si>
    <t>M</t>
  </si>
  <si>
    <t>Wizard</t>
  </si>
  <si>
    <t>Starter</t>
  </si>
  <si>
    <t>---</t>
  </si>
  <si>
    <t>Golem</t>
  </si>
  <si>
    <t>Goblin</t>
  </si>
  <si>
    <t>Cannot receive ATK damage.</t>
  </si>
  <si>
    <t>(No ATK Dmg)</t>
  </si>
  <si>
    <r>
      <rPr>
        <rFont val="Arial"/>
        <color theme="1"/>
        <sz val="8.0"/>
        <u/>
      </rPr>
      <t>(No ATK Dmg):</t>
    </r>
    <r>
      <rPr>
        <rFont val="Arial"/>
        <color theme="1"/>
        <sz val="8.0"/>
      </rPr>
      <t xml:space="preserve"> This unit's HP can never be reduced. Note that this unit can be </t>
    </r>
    <r>
      <rPr>
        <rFont val="Arial"/>
        <b/>
        <i/>
        <color theme="1"/>
        <sz val="8.0"/>
      </rPr>
      <t>defeated</t>
    </r>
    <r>
      <rPr>
        <rFont val="Arial"/>
        <color theme="1"/>
        <sz val="8.0"/>
      </rPr>
      <t xml:space="preserve"> through all other means.</t>
    </r>
  </si>
  <si>
    <t>Skeleton</t>
  </si>
  <si>
    <t>X (3)</t>
  </si>
  <si>
    <t>X = The HP of the last enemy faced.</t>
  </si>
  <si>
    <t>(HP of last enemy spun)</t>
  </si>
  <si>
    <t>&gt;On Spin</t>
  </si>
  <si>
    <t>(Last Mob HP)</t>
  </si>
  <si>
    <r>
      <rPr>
        <rFont val="Arial"/>
        <color theme="1"/>
        <sz val="8.0"/>
        <u/>
      </rPr>
      <t>Last Mob HP</t>
    </r>
    <r>
      <rPr>
        <rFont val="Arial"/>
        <color theme="1"/>
        <sz val="8.0"/>
      </rPr>
      <t xml:space="preserve">: </t>
    </r>
    <r>
      <rPr>
        <rFont val="Arial"/>
        <b/>
        <i/>
        <color theme="1"/>
        <sz val="8.0"/>
      </rPr>
      <t>On Spin</t>
    </r>
    <r>
      <rPr>
        <rFont val="Arial"/>
        <color theme="1"/>
        <sz val="8.0"/>
      </rPr>
      <t xml:space="preserve">, immediately store the enemy's HP in this value. </t>
    </r>
    <r>
      <rPr>
        <rFont val="Arial"/>
        <b/>
        <i/>
        <color theme="1"/>
        <sz val="8.0"/>
      </rPr>
      <t>Overwrite</t>
    </r>
    <r>
      <rPr>
        <rFont val="Arial"/>
        <color theme="1"/>
        <sz val="8.0"/>
      </rPr>
      <t xml:space="preserve"> this value each time </t>
    </r>
    <r>
      <rPr>
        <rFont val="Arial"/>
        <b/>
        <i/>
        <color theme="1"/>
        <sz val="8.0"/>
      </rPr>
      <t>On Spin</t>
    </r>
    <r>
      <rPr>
        <rFont val="Arial"/>
        <color theme="1"/>
        <sz val="8.0"/>
      </rPr>
      <t xml:space="preserve"> occurs.</t>
    </r>
  </si>
  <si>
    <r>
      <rPr>
        <rFont val="Arial"/>
        <b/>
        <i/>
        <color theme="1"/>
        <sz val="8.0"/>
      </rPr>
      <t>Edge Case:</t>
    </r>
    <r>
      <rPr>
        <rFont val="Arial"/>
        <b val="0"/>
        <i val="0"/>
        <color theme="1"/>
        <sz val="8.0"/>
      </rPr>
      <t xml:space="preserve"> If this is the first unit faced, set HP to 3.</t>
    </r>
  </si>
  <si>
    <t>Hornet Swarm</t>
  </si>
  <si>
    <t>This unit attacks twice.</t>
  </si>
  <si>
    <t>[Attacks Twice]</t>
  </si>
  <si>
    <r>
      <rPr>
        <rFont val="Arial"/>
        <color theme="1"/>
        <sz val="8.0"/>
      </rPr>
      <t xml:space="preserve">On </t>
    </r>
    <r>
      <rPr>
        <rFont val="Arial"/>
        <b/>
        <i/>
        <color theme="1"/>
        <sz val="8.0"/>
      </rPr>
      <t>Resolve Combat</t>
    </r>
    <r>
      <rPr>
        <rFont val="Arial"/>
        <color theme="1"/>
        <sz val="8.0"/>
      </rPr>
      <t xml:space="preserve">, takes its current </t>
    </r>
    <r>
      <rPr>
        <rFont val="Arial"/>
        <b/>
        <i/>
        <color theme="1"/>
        <sz val="8.0"/>
      </rPr>
      <t>ATK</t>
    </r>
    <r>
      <rPr>
        <rFont val="Arial"/>
        <color theme="1"/>
        <sz val="8.0"/>
      </rPr>
      <t xml:space="preserve"> and deals dmg to the player two times.</t>
    </r>
  </si>
  <si>
    <t>Lich</t>
  </si>
  <si>
    <t>Uncommon</t>
  </si>
  <si>
    <r>
      <rPr>
        <rFont val="Arial"/>
        <color theme="1"/>
        <sz val="9.0"/>
      </rPr>
      <t xml:space="preserve">Adds 1 to the HP of </t>
    </r>
    <r>
      <rPr>
        <rFont val="Arial"/>
        <b/>
        <i/>
        <color theme="1"/>
        <sz val="9.0"/>
      </rPr>
      <t>neighboring</t>
    </r>
    <r>
      <rPr>
        <rFont val="Arial"/>
        <color theme="1"/>
        <sz val="9.0"/>
      </rPr>
      <t xml:space="preserve"> Monsters.</t>
    </r>
  </si>
  <si>
    <t>Neighboring HP</t>
  </si>
  <si>
    <t>&gt;On Remove Slice</t>
  </si>
  <si>
    <r>
      <rPr>
        <rFont val="Arial"/>
        <color theme="1"/>
        <sz val="8.0"/>
        <u/>
      </rPr>
      <t>(Neighboring HP):</t>
    </r>
    <r>
      <rPr>
        <rFont val="Arial"/>
        <color theme="1"/>
        <sz val="8.0"/>
      </rPr>
      <t xml:space="preserve"> This addition to HP will always take place after all other calculations and modifiers have been added.</t>
    </r>
  </si>
  <si>
    <t>Ogre</t>
  </si>
  <si>
    <t>X</t>
  </si>
  <si>
    <t>X = Your HP at the start of combat.</t>
  </si>
  <si>
    <t>(HP)</t>
  </si>
  <si>
    <t>Berserker</t>
  </si>
  <si>
    <t>(1+X)</t>
  </si>
  <si>
    <t>(2+X)</t>
  </si>
  <si>
    <t>X = The number of monsters you have defeated.</t>
  </si>
  <si>
    <t>(# Mob Defeated)</t>
  </si>
  <si>
    <t>(# Mobs Defeated)</t>
  </si>
  <si>
    <r>
      <rPr>
        <rFont val="Arial"/>
        <color theme="1"/>
        <sz val="8.0"/>
      </rPr>
      <t>(# Mobs Defeated):</t>
    </r>
    <r>
      <rPr>
        <rFont val="Arial"/>
        <b/>
        <color theme="1"/>
        <sz val="8.0"/>
      </rPr>
      <t xml:space="preserve"> </t>
    </r>
    <r>
      <rPr>
        <rFont val="Arial"/>
        <color theme="1"/>
        <sz val="8.0"/>
      </rPr>
      <t>Every time a slice is removed after the initial drafting phase, this increments.</t>
    </r>
  </si>
  <si>
    <t>Dire Wolf</t>
  </si>
  <si>
    <t>Bandit</t>
  </si>
  <si>
    <t>X = The number of items you have at the start of combat.</t>
  </si>
  <si>
    <t>(# Items)</t>
  </si>
  <si>
    <t>&gt;On Draft
&gt;On Spin</t>
  </si>
  <si>
    <t>Leech League</t>
  </si>
  <si>
    <t>X = The number of monsters still in play.</t>
  </si>
  <si>
    <t>(# mobs)</t>
  </si>
  <si>
    <t>Wraith</t>
  </si>
  <si>
    <r>
      <rPr>
        <rFont val="Arial"/>
        <color theme="1"/>
        <sz val="9.0"/>
      </rPr>
      <t xml:space="preserve">If a </t>
    </r>
    <r>
      <rPr>
        <rFont val="Arial"/>
        <b/>
        <i/>
        <color theme="1"/>
        <sz val="9.0"/>
      </rPr>
      <t>neighbor</t>
    </r>
    <r>
      <rPr>
        <rFont val="Arial"/>
        <color theme="1"/>
        <sz val="9.0"/>
      </rPr>
      <t xml:space="preserve"> has higher ATK, then this unit's ATK will match it.</t>
    </r>
  </si>
  <si>
    <t>[Neighbors' highest ATK]</t>
  </si>
  <si>
    <t>Its own ATK</t>
  </si>
  <si>
    <r>
      <rPr>
        <rFont val="Arial"/>
        <b/>
        <i/>
        <color theme="1"/>
        <sz val="8.0"/>
      </rPr>
      <t>Resolve Order:</t>
    </r>
    <r>
      <rPr>
        <rFont val="Arial"/>
        <b val="0"/>
        <i val="0"/>
        <color theme="1"/>
        <sz val="8.0"/>
      </rPr>
      <t xml:space="preserve"> This is the only function whose order of operations matters.
</t>
    </r>
    <r>
      <rPr>
        <rFont val="Arial"/>
        <b/>
        <i/>
        <color theme="1"/>
        <sz val="8.0"/>
      </rPr>
      <t>Wraith</t>
    </r>
    <r>
      <rPr>
        <rFont val="Arial"/>
        <b val="0"/>
        <i val="0"/>
        <color theme="1"/>
        <sz val="8.0"/>
      </rPr>
      <t xml:space="preserve"> will check the ATK of others (with their complete modifiers, if any) and "match" higher ATK if applicable, and </t>
    </r>
    <r>
      <rPr>
        <rFont val="Arial"/>
        <b/>
        <i/>
        <color theme="1"/>
        <sz val="8.0"/>
      </rPr>
      <t>then</t>
    </r>
    <r>
      <rPr>
        <rFont val="Arial"/>
        <b val="0"/>
        <i val="0"/>
        <color theme="1"/>
        <sz val="8.0"/>
      </rPr>
      <t xml:space="preserve"> will receive the ATK increase from </t>
    </r>
    <r>
      <rPr>
        <rFont val="Arial"/>
        <b/>
        <i/>
        <color theme="1"/>
        <sz val="8.0"/>
      </rPr>
      <t>Captain</t>
    </r>
    <r>
      <rPr>
        <rFont val="Arial"/>
        <b val="0"/>
        <i val="0"/>
        <color theme="1"/>
        <sz val="8.0"/>
      </rPr>
      <t>.</t>
    </r>
  </si>
  <si>
    <t>Mimic</t>
  </si>
  <si>
    <t>If this unit is defeated before it can attack, Gain 1 random item.</t>
  </si>
  <si>
    <t>(Did it attack?)</t>
  </si>
  <si>
    <r>
      <rPr>
        <rFont val="Arial"/>
        <color theme="1"/>
        <sz val="9.0"/>
      </rPr>
      <t xml:space="preserve">&gt;On </t>
    </r>
    <r>
      <rPr>
        <rFont val="Arial"/>
        <b/>
        <i/>
        <color theme="1"/>
        <sz val="9.0"/>
      </rPr>
      <t>Resolve Combat</t>
    </r>
  </si>
  <si>
    <r>
      <rPr>
        <rFont val="Arial"/>
        <color theme="1"/>
        <sz val="9.0"/>
      </rPr>
      <t xml:space="preserve">Initiates
[Gain 1 Item]
If (Did it attack?) returns </t>
    </r>
    <r>
      <rPr>
        <rFont val="Arial"/>
        <b/>
        <i/>
        <color theme="1"/>
        <sz val="9.0"/>
      </rPr>
      <t>False</t>
    </r>
  </si>
  <si>
    <t>&gt;On Resolve Combat</t>
  </si>
  <si>
    <t>(Did it attack?)
[Gain 1 Item]</t>
  </si>
  <si>
    <r>
      <rPr>
        <rFont val="Arial"/>
        <color theme="1"/>
        <sz val="8.0"/>
        <u/>
      </rPr>
      <t>(Did It Attack?):</t>
    </r>
    <r>
      <rPr>
        <rFont val="Arial"/>
        <color theme="1"/>
        <sz val="8.0"/>
      </rPr>
      <t xml:space="preserve"> Set to </t>
    </r>
    <r>
      <rPr>
        <rFont val="Arial"/>
        <b/>
        <i/>
        <color theme="1"/>
        <sz val="8.0"/>
      </rPr>
      <t>False</t>
    </r>
    <r>
      <rPr>
        <rFont val="Arial"/>
        <color theme="1"/>
        <sz val="8.0"/>
      </rPr>
      <t xml:space="preserve"> at the start of combat. If the enemy ever attacks, set to </t>
    </r>
    <r>
      <rPr>
        <rFont val="Arial"/>
        <b/>
        <i/>
        <color theme="1"/>
        <sz val="8.0"/>
      </rPr>
      <t>True</t>
    </r>
    <r>
      <rPr>
        <rFont val="Arial"/>
        <color theme="1"/>
        <sz val="8.0"/>
      </rPr>
      <t>. Ways to prevent the enemy from attacking are killing or otherwise defeating the enemy with items (i.e. not blocking).
Draws 1 Random item (</t>
    </r>
    <r>
      <rPr>
        <rFont val="Arial"/>
        <b/>
        <i/>
        <color theme="1"/>
        <sz val="8.0"/>
      </rPr>
      <t>tier-agnostic</t>
    </r>
    <r>
      <rPr>
        <rFont val="Arial"/>
        <color theme="1"/>
        <sz val="8.0"/>
      </rPr>
      <t xml:space="preserve">) from the pool of items </t>
    </r>
    <r>
      <rPr>
        <rFont val="Arial"/>
        <b/>
        <i/>
        <color theme="1"/>
        <sz val="8.0"/>
      </rPr>
      <t>that have not been drawn in this dungeon yet</t>
    </r>
    <r>
      <rPr>
        <rFont val="Arial"/>
        <color theme="1"/>
        <sz val="8.0"/>
      </rPr>
      <t>.</t>
    </r>
  </si>
  <si>
    <r>
      <rPr>
        <rFont val="Arial"/>
        <b/>
        <i/>
        <color theme="1"/>
        <sz val="8.0"/>
      </rPr>
      <t>Edge Case:</t>
    </r>
    <r>
      <rPr>
        <rFont val="Arial"/>
        <b val="0"/>
        <i val="0"/>
        <color theme="1"/>
        <sz val="8.0"/>
      </rPr>
      <t xml:space="preserve"> If there are 0 items left in the pool, then do not draw an item.</t>
    </r>
  </si>
  <si>
    <t>Two-Headed Serpent</t>
  </si>
  <si>
    <r>
      <rPr>
        <rFont val="Arial"/>
        <color theme="1"/>
        <sz val="9.0"/>
      </rPr>
      <t xml:space="preserve">Does not attack if you use </t>
    </r>
    <r>
      <rPr>
        <rFont val="Arial"/>
        <b/>
        <i/>
        <color theme="1"/>
        <sz val="9.0"/>
      </rPr>
      <t>at least 2 items</t>
    </r>
    <r>
      <rPr>
        <rFont val="Arial"/>
        <color theme="1"/>
        <sz val="9.0"/>
      </rPr>
      <t>.</t>
    </r>
  </si>
  <si>
    <t>(# items used this combat)</t>
  </si>
  <si>
    <t>&gt;On Item Use</t>
  </si>
  <si>
    <t>[Used 2 Items?]</t>
  </si>
  <si>
    <r>
      <rPr>
        <rFont val="Arial"/>
        <color theme="1"/>
        <sz val="8.0"/>
      </rPr>
      <t xml:space="preserve">Checks if player uses (or 'taps') 2 items during its combat, at which point its ATK </t>
    </r>
    <r>
      <rPr>
        <rFont val="Arial"/>
        <b/>
        <i/>
        <color theme="1"/>
        <sz val="8.0"/>
      </rPr>
      <t>immediately drops to zero (0)</t>
    </r>
    <r>
      <rPr>
        <rFont val="Arial"/>
        <color theme="1"/>
        <sz val="8.0"/>
      </rPr>
      <t>.</t>
    </r>
  </si>
  <si>
    <r>
      <rPr>
        <rFont val="Arial"/>
        <b/>
        <i/>
        <color theme="1"/>
        <sz val="8.0"/>
      </rPr>
      <t xml:space="preserve"> Edge Case:</t>
    </r>
    <r>
      <rPr>
        <rFont val="Arial"/>
        <color theme="1"/>
        <sz val="8.0"/>
      </rPr>
      <t xml:space="preserve"> If the second item used is </t>
    </r>
    <r>
      <rPr>
        <rFont val="Arial"/>
        <b/>
        <i/>
        <color theme="1"/>
        <sz val="8.0"/>
      </rPr>
      <t>Smoke Bomb</t>
    </r>
    <r>
      <rPr>
        <rFont val="Arial"/>
        <color theme="1"/>
        <sz val="8.0"/>
      </rPr>
      <t xml:space="preserve">, nothing special happens. </t>
    </r>
    <r>
      <rPr>
        <rFont val="Arial"/>
        <b/>
        <i/>
        <color theme="1"/>
        <sz val="8.0"/>
      </rPr>
      <t xml:space="preserve">Smoke Bomb </t>
    </r>
    <r>
      <rPr>
        <rFont val="Arial"/>
        <color theme="1"/>
        <sz val="8.0"/>
      </rPr>
      <t xml:space="preserve">occurs as usual, and (later) when the player encounters </t>
    </r>
    <r>
      <rPr>
        <rFont val="Arial"/>
        <b/>
        <i/>
        <color theme="1"/>
        <sz val="8.0"/>
      </rPr>
      <t>Two-Headed Serpent</t>
    </r>
    <r>
      <rPr>
        <rFont val="Arial"/>
        <color theme="1"/>
        <sz val="8.0"/>
      </rPr>
      <t xml:space="preserve"> again, they will still be set to attack again.</t>
    </r>
  </si>
  <si>
    <t>Slime Boss</t>
  </si>
  <si>
    <t>X = This unit's HP.</t>
  </si>
  <si>
    <t>(Enemy HP)</t>
  </si>
  <si>
    <t>&gt;On Enemy HP Change</t>
  </si>
  <si>
    <r>
      <rPr>
        <rFont val="Arial"/>
        <b/>
        <i/>
        <color theme="1"/>
        <sz val="8.0"/>
      </rPr>
      <t>Edge Case</t>
    </r>
    <r>
      <rPr>
        <rFont val="Arial"/>
        <b val="0"/>
        <i val="0"/>
        <color theme="1"/>
        <sz val="8.0"/>
      </rPr>
      <t>: This is the only unit whose ATK value can change mid-combat. This means that dealing it damage can effect items that react to enemy ATK (</t>
    </r>
    <r>
      <rPr>
        <rFont val="Arial"/>
        <b/>
        <i/>
        <color theme="1"/>
        <sz val="8.0"/>
      </rPr>
      <t>Sai, Fangs</t>
    </r>
    <r>
      <rPr>
        <rFont val="Arial"/>
        <b val="0"/>
        <i val="0"/>
        <color theme="1"/>
        <sz val="8.0"/>
      </rPr>
      <t xml:space="preserve">, </t>
    </r>
    <r>
      <rPr>
        <rFont val="Arial"/>
        <b/>
        <i/>
        <color theme="1"/>
        <sz val="8.0"/>
      </rPr>
      <t>Sledgehammer</t>
    </r>
    <r>
      <rPr>
        <rFont val="Arial"/>
        <b val="0"/>
        <i val="0"/>
        <color theme="1"/>
        <sz val="8.0"/>
      </rPr>
      <t>).</t>
    </r>
  </si>
  <si>
    <t>Spider Queen</t>
  </si>
  <si>
    <r>
      <rPr>
        <rFont val="Arial"/>
        <color theme="1"/>
        <sz val="9.0"/>
      </rPr>
      <t xml:space="preserve">When this unit attacks, if it has more </t>
    </r>
    <r>
      <rPr>
        <rFont val="Arial"/>
        <b/>
        <i/>
        <color theme="1"/>
        <sz val="9.0"/>
      </rPr>
      <t>HP</t>
    </r>
    <r>
      <rPr>
        <rFont val="Arial"/>
        <color theme="1"/>
        <sz val="9.0"/>
      </rPr>
      <t xml:space="preserve"> than at least one </t>
    </r>
    <r>
      <rPr>
        <rFont val="Arial"/>
        <b/>
        <i/>
        <color theme="1"/>
        <sz val="9.0"/>
      </rPr>
      <t>neighbor</t>
    </r>
    <r>
      <rPr>
        <rFont val="Arial"/>
        <color theme="1"/>
        <sz val="9.0"/>
      </rPr>
      <t xml:space="preserve"> it attacks twice.</t>
    </r>
  </si>
  <si>
    <t>(Neighbor with less HP?)</t>
  </si>
  <si>
    <t>(# Times Attack)</t>
  </si>
  <si>
    <r>
      <rPr>
        <rFont val="Arial"/>
        <color theme="1"/>
        <sz val="8.0"/>
      </rPr>
      <t xml:space="preserve">Each time </t>
    </r>
    <r>
      <rPr>
        <rFont val="Arial"/>
        <b/>
        <i/>
        <color theme="1"/>
        <sz val="8.0"/>
      </rPr>
      <t>On Enemy HP Change</t>
    </r>
    <r>
      <rPr>
        <rFont val="Arial"/>
        <color theme="1"/>
        <sz val="8.0"/>
      </rPr>
      <t xml:space="preserve">, checks all </t>
    </r>
    <r>
      <rPr>
        <rFont val="Arial"/>
        <b/>
        <i/>
        <color theme="1"/>
        <sz val="8.0"/>
      </rPr>
      <t>Neigbors</t>
    </r>
    <r>
      <rPr>
        <rFont val="Arial"/>
        <color theme="1"/>
        <sz val="8.0"/>
      </rPr>
      <t xml:space="preserve"> to see if they have less HP than. If </t>
    </r>
    <r>
      <rPr>
        <rFont val="Arial"/>
        <b/>
        <i/>
        <color theme="1"/>
        <sz val="8.0"/>
      </rPr>
      <t>True</t>
    </r>
    <r>
      <rPr>
        <rFont val="Arial"/>
        <color theme="1"/>
        <sz val="8.0"/>
      </rPr>
      <t xml:space="preserve">, then sets </t>
    </r>
    <r>
      <rPr>
        <rFont val="Arial"/>
        <b/>
        <i/>
        <color theme="1"/>
        <sz val="8.0"/>
      </rPr>
      <t>(# Times Attack)</t>
    </r>
    <r>
      <rPr>
        <rFont val="Arial"/>
        <color theme="1"/>
        <sz val="8.0"/>
      </rPr>
      <t xml:space="preserve"> to 2.</t>
    </r>
  </si>
  <si>
    <t>Commander</t>
  </si>
  <si>
    <r>
      <rPr>
        <rFont val="Arial"/>
        <color theme="1"/>
        <sz val="9.0"/>
      </rPr>
      <t xml:space="preserve">Adds 2 to the ATK of </t>
    </r>
    <r>
      <rPr>
        <rFont val="Arial"/>
        <b/>
        <i/>
        <color theme="1"/>
        <sz val="9.0"/>
      </rPr>
      <t>neighboring</t>
    </r>
    <r>
      <rPr>
        <rFont val="Arial"/>
        <color theme="1"/>
        <sz val="9.0"/>
      </rPr>
      <t xml:space="preserve"> monsters.</t>
    </r>
  </si>
  <si>
    <t>Neighboring ATK</t>
  </si>
  <si>
    <r>
      <rPr>
        <rFont val="Arial"/>
        <color theme="1"/>
        <sz val="8.0"/>
        <u/>
      </rPr>
      <t>(Neighboring ATK):</t>
    </r>
    <r>
      <rPr>
        <rFont val="Arial"/>
        <color theme="1"/>
        <sz val="8.0"/>
      </rPr>
      <t xml:space="preserve"> This addition to ATK will always take place after all other calculations and modifiers have been added.</t>
    </r>
  </si>
  <si>
    <t>Dragon</t>
  </si>
  <si>
    <t>This unit's ATK damage ignores block.</t>
  </si>
  <si>
    <r>
      <rPr>
        <rFont val="Arial"/>
        <color theme="1"/>
        <sz val="9.0"/>
      </rPr>
      <t xml:space="preserve">Initiates
[Double ATK or BLK]
On </t>
    </r>
    <r>
      <rPr>
        <rFont val="Arial"/>
        <b/>
        <i/>
        <color theme="1"/>
        <sz val="9.0"/>
      </rPr>
      <t>Spin</t>
    </r>
  </si>
  <si>
    <t>&gt; On Spin</t>
  </si>
  <si>
    <t>[Double ATK or BLK]</t>
  </si>
  <si>
    <r>
      <rPr>
        <rFont val="Arial"/>
        <color theme="1"/>
        <sz val="8.0"/>
      </rPr>
      <t xml:space="preserve">Once initiated, sets trigger to automatically double the effect of the first time the player gains </t>
    </r>
    <r>
      <rPr>
        <rFont val="Arial"/>
        <b/>
        <i/>
        <color theme="1"/>
        <sz val="8.0"/>
      </rPr>
      <t>BLK</t>
    </r>
    <r>
      <rPr>
        <rFont val="Arial"/>
        <color theme="1"/>
        <sz val="8.0"/>
      </rPr>
      <t xml:space="preserve"> or deals </t>
    </r>
    <r>
      <rPr>
        <rFont val="Arial"/>
        <b/>
        <i/>
        <color theme="1"/>
        <sz val="8.0"/>
      </rPr>
      <t>ATK</t>
    </r>
    <r>
      <rPr>
        <rFont val="Arial"/>
        <color theme="1"/>
        <sz val="8.0"/>
      </rPr>
      <t xml:space="preserve"> damage, then removes this trigger.</t>
    </r>
  </si>
  <si>
    <t>I</t>
  </si>
  <si>
    <t>Throwing Knife</t>
  </si>
  <si>
    <t>(ATK 3),
OR
(ATK 1) and keep this item.</t>
  </si>
  <si>
    <t>Shield</t>
  </si>
  <si>
    <t>(BLK 4)</t>
  </si>
  <si>
    <t>Sai</t>
  </si>
  <si>
    <r>
      <rPr>
        <rFont val="Arial"/>
        <color theme="1"/>
        <sz val="9.0"/>
      </rPr>
      <t xml:space="preserve">(ATK 2), or (ATK 4) against monsters with </t>
    </r>
    <r>
      <rPr>
        <rFont val="Arial"/>
        <b/>
        <i/>
        <color theme="1"/>
        <sz val="9.0"/>
      </rPr>
      <t>even ATK</t>
    </r>
    <r>
      <rPr>
        <rFont val="Arial"/>
        <color theme="1"/>
        <sz val="9.0"/>
      </rPr>
      <t>.</t>
    </r>
  </si>
  <si>
    <t>(Is enemy ATK even?)</t>
  </si>
  <si>
    <t>&gt;On Spin
&gt;On Enemy ATK Change</t>
  </si>
  <si>
    <t>Medallion</t>
  </si>
  <si>
    <t>(BLK 6-X), where X is your HP.</t>
  </si>
  <si>
    <t>&gt;On Spin
&gt;On HP Change</t>
  </si>
  <si>
    <t>Its own BLK</t>
  </si>
  <si>
    <t>&gt;On HP Change</t>
  </si>
  <si>
    <t>This check occurs each time the player's HP changes.</t>
  </si>
  <si>
    <t>Helmet</t>
  </si>
  <si>
    <t>(BLK X), where X is the lowest HP between you and the enemy.</t>
  </si>
  <si>
    <t>[Lowest HP]</t>
  </si>
  <si>
    <t>&gt;On Spin
&gt;On HP Change
&gt;On Enemy HP Change</t>
  </si>
  <si>
    <r>
      <rPr>
        <rFont val="Arial"/>
        <color theme="1"/>
        <sz val="8.0"/>
        <u/>
      </rPr>
      <t>[Lowest HP]:</t>
    </r>
    <r>
      <rPr>
        <rFont val="Arial"/>
        <color theme="1"/>
        <sz val="8.0"/>
        <u/>
      </rPr>
      <t xml:space="preserve"> Compares the player's </t>
    </r>
    <r>
      <rPr>
        <rFont val="Arial"/>
        <b/>
        <i/>
        <color theme="1"/>
        <sz val="8.0"/>
        <u/>
      </rPr>
      <t>current</t>
    </r>
    <r>
      <rPr>
        <rFont val="Arial"/>
        <color theme="1"/>
        <sz val="8.0"/>
        <u/>
      </rPr>
      <t xml:space="preserve"> </t>
    </r>
    <r>
      <rPr>
        <rFont val="Arial"/>
        <b/>
        <i/>
        <color theme="1"/>
        <sz val="8.0"/>
        <u/>
      </rPr>
      <t>HP</t>
    </r>
    <r>
      <rPr>
        <rFont val="Arial"/>
        <color theme="1"/>
        <sz val="8.0"/>
        <u/>
      </rPr>
      <t xml:space="preserve"> against the enemy's </t>
    </r>
    <r>
      <rPr>
        <rFont val="Arial"/>
        <b/>
        <i/>
        <color theme="1"/>
        <sz val="8.0"/>
        <u/>
      </rPr>
      <t>current HP</t>
    </r>
    <r>
      <rPr>
        <rFont val="Arial"/>
        <color theme="1"/>
        <sz val="8.0"/>
        <u/>
      </rPr>
      <t xml:space="preserve"> and takes the lower value as </t>
    </r>
    <r>
      <rPr>
        <rFont val="Arial"/>
        <b/>
        <i/>
        <color theme="1"/>
        <sz val="8.0"/>
        <u/>
      </rPr>
      <t>X</t>
    </r>
    <r>
      <rPr>
        <rFont val="Arial"/>
        <color theme="1"/>
        <sz val="8.0"/>
        <u/>
      </rPr>
      <t xml:space="preserve"> (or the Player's value if tied).
This "check" occurs every time the enemy's HP changes, or the player's HP changes.</t>
    </r>
  </si>
  <si>
    <t>Da Boot</t>
  </si>
  <si>
    <t>Defeat an enemy with less HP than you.</t>
  </si>
  <si>
    <t>(Is enemy HP less?)</t>
  </si>
  <si>
    <t>(Usable?)</t>
  </si>
  <si>
    <r>
      <rPr>
        <rFont val="Arial"/>
        <color theme="1"/>
        <sz val="9.0"/>
      </rPr>
      <t xml:space="preserve">Updates whenver </t>
    </r>
    <r>
      <rPr>
        <rFont val="Arial"/>
        <b/>
        <color theme="1"/>
        <sz val="9.0"/>
      </rPr>
      <t>(Is enemy HP less?)</t>
    </r>
    <r>
      <rPr>
        <rFont val="Arial"/>
        <color theme="1"/>
        <sz val="9.0"/>
      </rPr>
      <t xml:space="preserve"> updates, to match it.</t>
    </r>
  </si>
  <si>
    <t>[Defeat]</t>
  </si>
  <si>
    <r>
      <rPr>
        <rFont val="Arial"/>
        <color theme="1"/>
        <sz val="8.0"/>
      </rPr>
      <t xml:space="preserve">When used, </t>
    </r>
    <r>
      <rPr>
        <rFont val="Arial"/>
        <b/>
        <i/>
        <color theme="1"/>
        <sz val="8.0"/>
      </rPr>
      <t>Resolve Combat</t>
    </r>
    <r>
      <rPr>
        <rFont val="Arial"/>
        <color theme="1"/>
        <sz val="8.0"/>
      </rPr>
      <t xml:space="preserve"> immediately, skipping ATK/BLK resolution.</t>
    </r>
  </si>
  <si>
    <t>Grimoire</t>
  </si>
  <si>
    <t>(ATK X) equal to the ATK of the last monster faced.</t>
  </si>
  <si>
    <t>(Last Mob ATK)</t>
  </si>
  <si>
    <t>(Initial Value)
&gt;On Spin</t>
  </si>
  <si>
    <r>
      <rPr>
        <rFont val="Arial"/>
        <color theme="1"/>
        <sz val="8.0"/>
        <u/>
      </rPr>
      <t>Last Mob ATK</t>
    </r>
    <r>
      <rPr>
        <rFont val="Arial"/>
        <color theme="1"/>
        <sz val="8.0"/>
      </rPr>
      <t xml:space="preserve">: </t>
    </r>
    <r>
      <rPr>
        <rFont val="Arial"/>
        <b/>
        <i/>
        <color theme="1"/>
        <sz val="8.0"/>
      </rPr>
      <t>On Spin</t>
    </r>
    <r>
      <rPr>
        <rFont val="Arial"/>
        <color theme="1"/>
        <sz val="8.0"/>
      </rPr>
      <t xml:space="preserve">, immediately store the enemy's ATK in this value. </t>
    </r>
    <r>
      <rPr>
        <rFont val="Arial"/>
        <b/>
        <i/>
        <color theme="1"/>
        <sz val="8.0"/>
      </rPr>
      <t>Overwrite</t>
    </r>
    <r>
      <rPr>
        <rFont val="Arial"/>
        <color theme="1"/>
        <sz val="8.0"/>
      </rPr>
      <t xml:space="preserve"> this value each time </t>
    </r>
    <r>
      <rPr>
        <rFont val="Arial"/>
        <b/>
        <i/>
        <color theme="1"/>
        <sz val="8.0"/>
      </rPr>
      <t>On Spin</t>
    </r>
    <r>
      <rPr>
        <rFont val="Arial"/>
        <color theme="1"/>
        <sz val="8.0"/>
      </rPr>
      <t xml:space="preserve"> occurs.</t>
    </r>
  </si>
  <si>
    <r>
      <rPr>
        <rFont val="Arial"/>
        <color theme="1"/>
        <sz val="8.0"/>
      </rPr>
      <t xml:space="preserve">This item's </t>
    </r>
    <r>
      <rPr>
        <rFont val="Arial"/>
        <b/>
        <i/>
        <color theme="1"/>
        <sz val="8.0"/>
      </rPr>
      <t>Initial Value</t>
    </r>
    <r>
      <rPr>
        <rFont val="Arial"/>
        <color theme="1"/>
        <sz val="8.0"/>
      </rPr>
      <t xml:space="preserve"> is always zero (0).</t>
    </r>
  </si>
  <si>
    <t>Bloody Gauntlets</t>
  </si>
  <si>
    <t>(ATK 7-X), where X is your HP.</t>
  </si>
  <si>
    <t>Breastplate</t>
  </si>
  <si>
    <t>(BLK 2). If you lose HP this combat, keep this item.</t>
  </si>
  <si>
    <t>(Did lose HP?)</t>
  </si>
  <si>
    <t>&gt;On Combat Resolve</t>
  </si>
  <si>
    <t>[Delayed Discard]
[Tap]
[Untap]</t>
  </si>
  <si>
    <r>
      <rPr>
        <rFont val="Arial"/>
        <color theme="1"/>
        <sz val="8.0"/>
        <u/>
      </rPr>
      <t>Delayed Discard:</t>
    </r>
    <r>
      <rPr>
        <rFont val="Arial"/>
        <b/>
        <color theme="1"/>
        <sz val="8.0"/>
      </rPr>
      <t xml:space="preserve"> </t>
    </r>
    <r>
      <rPr>
        <rFont val="Arial"/>
        <b/>
        <i/>
        <color theme="1"/>
        <sz val="8.0"/>
      </rPr>
      <t>Tap</t>
    </r>
    <r>
      <rPr>
        <rFont val="Arial"/>
        <color theme="1"/>
        <sz val="8.0"/>
      </rPr>
      <t xml:space="preserve"> this item on use. By default, this item is </t>
    </r>
    <r>
      <rPr>
        <rFont val="Arial"/>
        <b/>
        <i/>
        <color theme="1"/>
        <sz val="8.0"/>
      </rPr>
      <t>Discarded</t>
    </r>
    <r>
      <rPr>
        <rFont val="Arial"/>
        <color theme="1"/>
        <sz val="8.0"/>
      </rPr>
      <t xml:space="preserve"> (like most items) </t>
    </r>
    <r>
      <rPr>
        <rFont val="Arial"/>
        <b/>
        <i/>
        <color theme="1"/>
        <sz val="8.0"/>
      </rPr>
      <t>On Combat Resolve</t>
    </r>
    <r>
      <rPr>
        <rFont val="Arial"/>
        <color theme="1"/>
        <sz val="8.0"/>
      </rPr>
      <t xml:space="preserve">. If [Did Lose HP?] is met, then </t>
    </r>
    <r>
      <rPr>
        <rFont val="Arial"/>
        <b/>
        <i/>
        <color theme="1"/>
        <sz val="8.0"/>
      </rPr>
      <t xml:space="preserve">Untap </t>
    </r>
    <r>
      <rPr>
        <rFont val="Arial"/>
        <color theme="1"/>
        <sz val="8.0"/>
      </rPr>
      <t xml:space="preserve">the item instead of discarding it.
</t>
    </r>
    <r>
      <rPr>
        <rFont val="Arial"/>
        <color theme="1"/>
        <sz val="8.0"/>
        <u/>
      </rPr>
      <t>Did Lose HP?:</t>
    </r>
    <r>
      <rPr>
        <rFont val="Arial"/>
        <color theme="1"/>
        <sz val="8.0"/>
      </rPr>
      <t xml:space="preserve"> Compare </t>
    </r>
    <r>
      <rPr>
        <rFont val="Arial"/>
        <b/>
        <i/>
        <color theme="1"/>
        <sz val="8.0"/>
      </rPr>
      <t>(HP)</t>
    </r>
    <r>
      <rPr>
        <rFont val="Arial"/>
        <color theme="1"/>
        <sz val="8.0"/>
      </rPr>
      <t xml:space="preserve"> from </t>
    </r>
    <r>
      <rPr>
        <rFont val="Arial"/>
        <b/>
        <i/>
        <color theme="1"/>
        <sz val="8.0"/>
      </rPr>
      <t>On Spin</t>
    </r>
    <r>
      <rPr>
        <rFont val="Arial"/>
        <color theme="1"/>
        <sz val="8.0"/>
      </rPr>
      <t xml:space="preserve"> versus </t>
    </r>
    <r>
      <rPr>
        <rFont val="Arial"/>
        <b/>
        <i/>
        <color theme="1"/>
        <sz val="8.0"/>
      </rPr>
      <t>On Combat Resolve</t>
    </r>
    <r>
      <rPr>
        <rFont val="Arial"/>
        <color theme="1"/>
        <sz val="8.0"/>
      </rPr>
      <t>. If the value is less, then this criterion is met.</t>
    </r>
  </si>
  <si>
    <r>
      <rPr>
        <rFont val="Arial"/>
        <b/>
        <i/>
        <color theme="1"/>
        <sz val="8.0"/>
      </rPr>
      <t>Edge Case:</t>
    </r>
    <r>
      <rPr>
        <rFont val="Arial"/>
        <b val="0"/>
        <i val="0"/>
        <color theme="1"/>
        <sz val="8.0"/>
      </rPr>
      <t xml:space="preserve"> If the item </t>
    </r>
    <r>
      <rPr>
        <rFont val="Arial"/>
        <b/>
        <i/>
        <color theme="1"/>
        <sz val="8.0"/>
      </rPr>
      <t>Healing Potion</t>
    </r>
    <r>
      <rPr>
        <rFont val="Arial"/>
        <b val="0"/>
        <i val="0"/>
        <color theme="1"/>
        <sz val="8.0"/>
      </rPr>
      <t xml:space="preserve"> was used this combat, then [Did Lose HP?] always returns </t>
    </r>
    <r>
      <rPr>
        <rFont val="Arial"/>
        <b/>
        <i/>
        <color theme="1"/>
        <sz val="8.0"/>
      </rPr>
      <t>True</t>
    </r>
    <r>
      <rPr>
        <rFont val="Arial"/>
        <b val="0"/>
        <i val="0"/>
        <color theme="1"/>
        <sz val="8.0"/>
      </rPr>
      <t>.</t>
    </r>
  </si>
  <si>
    <t>Bracers</t>
  </si>
  <si>
    <t>(BLK X) equal to the ATK of the weakest neighboring enemy.</t>
  </si>
  <si>
    <t>[Neighbors' lowest ATK]</t>
  </si>
  <si>
    <r>
      <rPr>
        <rFont val="Arial"/>
        <b/>
        <i/>
        <color theme="1"/>
        <sz val="8.0"/>
      </rPr>
      <t>Edge Case:</t>
    </r>
    <r>
      <rPr>
        <rFont val="Arial"/>
        <b val="0"/>
        <i val="0"/>
        <color theme="1"/>
        <sz val="8.0"/>
      </rPr>
      <t xml:space="preserve"> When fighting the final enemy, this item becomes </t>
    </r>
    <r>
      <rPr>
        <rFont val="Arial"/>
        <b/>
        <i/>
        <color theme="1"/>
        <sz val="8.0"/>
      </rPr>
      <t>unusable</t>
    </r>
    <r>
      <rPr>
        <rFont val="Arial"/>
        <b val="0"/>
        <i val="0"/>
        <color theme="1"/>
        <sz val="8.0"/>
      </rPr>
      <t>.</t>
    </r>
  </si>
  <si>
    <t>Smoke Bomb</t>
  </si>
  <si>
    <t>Re-roll the encounter, then Gain 1 Random Item.</t>
  </si>
  <si>
    <t>[Spin Again]
[Gain 1 Item]</t>
  </si>
  <si>
    <r>
      <rPr>
        <rFont val="Arial"/>
        <color theme="1"/>
        <sz val="8.0"/>
        <u/>
      </rPr>
      <t>Spin Again</t>
    </r>
    <r>
      <rPr>
        <rFont val="Arial"/>
        <color theme="1"/>
        <sz val="8.0"/>
      </rPr>
      <t xml:space="preserve"> - Immediately end combat. Do not resolve combat in any way. </t>
    </r>
    <r>
      <rPr>
        <rFont val="Arial"/>
        <b/>
        <i/>
        <color theme="1"/>
        <sz val="8.0"/>
      </rPr>
      <t>Spin</t>
    </r>
    <r>
      <rPr>
        <rFont val="Arial"/>
        <color theme="1"/>
        <sz val="8.0"/>
      </rPr>
      <t xml:space="preserve"> again, and </t>
    </r>
    <r>
      <rPr>
        <rFont val="Arial"/>
        <b/>
        <i/>
        <color theme="1"/>
        <sz val="8.0"/>
      </rPr>
      <t>guarantee that the same slice is not spun again</t>
    </r>
    <r>
      <rPr>
        <rFont val="Arial"/>
        <color theme="1"/>
        <sz val="8.0"/>
      </rPr>
      <t xml:space="preserve">.
</t>
    </r>
    <r>
      <rPr>
        <rFont val="Arial"/>
        <color theme="1"/>
        <sz val="8.0"/>
        <u/>
      </rPr>
      <t>Gain 1 Item</t>
    </r>
    <r>
      <rPr>
        <rFont val="Arial"/>
        <color theme="1"/>
        <sz val="8.0"/>
      </rPr>
      <t xml:space="preserve"> - Draws 1 Random item (</t>
    </r>
    <r>
      <rPr>
        <rFont val="Arial"/>
        <b/>
        <i/>
        <color theme="1"/>
        <sz val="8.0"/>
      </rPr>
      <t>tier-agnostic</t>
    </r>
    <r>
      <rPr>
        <rFont val="Arial"/>
        <color theme="1"/>
        <sz val="8.0"/>
      </rPr>
      <t xml:space="preserve">) from the pool of items </t>
    </r>
    <r>
      <rPr>
        <rFont val="Arial"/>
        <b/>
        <i/>
        <color theme="1"/>
        <sz val="8.0"/>
      </rPr>
      <t>that have not been drawn in this dungeon yet</t>
    </r>
    <r>
      <rPr>
        <rFont val="Arial"/>
        <color theme="1"/>
        <sz val="8.0"/>
      </rPr>
      <t>.</t>
    </r>
  </si>
  <si>
    <t>Knucklers</t>
  </si>
  <si>
    <t>(ATK 7-X), where X is the number of items you have at the start of combat.</t>
  </si>
  <si>
    <t>(HP Delta)</t>
  </si>
  <si>
    <r>
      <rPr>
        <rFont val="Arial"/>
        <color theme="1"/>
        <sz val="8.0"/>
      </rPr>
      <t>[</t>
    </r>
    <r>
      <rPr>
        <rFont val="Arial"/>
        <color theme="1"/>
        <sz val="8.0"/>
        <u/>
      </rPr>
      <t>HP Delta]</t>
    </r>
    <r>
      <rPr>
        <rFont val="Arial"/>
        <color theme="1"/>
        <sz val="8.0"/>
      </rPr>
      <t xml:space="preserve"> - Takes the absolute value (i.e. positive or negative) of the delta between the player and enemy's HP.</t>
    </r>
  </si>
  <si>
    <t>Fangs</t>
  </si>
  <si>
    <t>Receive DMG equal to enemy ATK, then Defeat the enemy and Heal equal to their HP 
(up to your Max HP).</t>
  </si>
  <si>
    <t>[Fange DMG]</t>
  </si>
  <si>
    <t>&gt;On Enemy ATK Change</t>
  </si>
  <si>
    <t>[Fangs DMG]
[Fangs Healing]</t>
  </si>
  <si>
    <r>
      <rPr>
        <rFont val="Arial"/>
        <color theme="1"/>
        <sz val="8.0"/>
      </rPr>
      <t>On item use, store (</t>
    </r>
    <r>
      <rPr>
        <rFont val="Arial"/>
        <color theme="1"/>
        <sz val="8.0"/>
        <u/>
      </rPr>
      <t>Enemy current HP</t>
    </r>
    <r>
      <rPr>
        <rFont val="Arial"/>
        <color theme="1"/>
        <sz val="8.0"/>
      </rPr>
      <t xml:space="preserve">) to be used later.
</t>
    </r>
    <r>
      <rPr>
        <rFont val="Arial"/>
        <color theme="1"/>
        <sz val="8.0"/>
        <u/>
      </rPr>
      <t>[Fangs DMG]:</t>
    </r>
    <r>
      <rPr>
        <rFont val="Arial"/>
        <color theme="1"/>
        <sz val="8.0"/>
      </rPr>
      <t xml:space="preserve"> When used, immediately receive ATK equal to enemy ATK (this can be blocked, like during </t>
    </r>
    <r>
      <rPr>
        <rFont val="Arial"/>
        <b/>
        <i/>
        <color theme="1"/>
        <sz val="8.0"/>
      </rPr>
      <t>Resolve Combat</t>
    </r>
    <r>
      <rPr>
        <rFont val="Arial"/>
        <color theme="1"/>
        <sz val="8.0"/>
      </rPr>
      <t xml:space="preserve">)
</t>
    </r>
    <r>
      <rPr>
        <rFont val="Arial"/>
        <color theme="1"/>
        <sz val="8.0"/>
        <u/>
      </rPr>
      <t>[Fangs Healing]:</t>
    </r>
    <r>
      <rPr>
        <rFont val="Arial"/>
        <color theme="1"/>
        <sz val="8.0"/>
      </rPr>
      <t xml:space="preserve"> Immediately after [Fangs DMG] and after checks like (Player Dead?), </t>
    </r>
    <r>
      <rPr>
        <rFont val="Arial"/>
        <b/>
        <i/>
        <color theme="1"/>
        <sz val="8.0"/>
      </rPr>
      <t>Heal</t>
    </r>
    <r>
      <rPr>
        <rFont val="Arial"/>
        <color theme="1"/>
        <sz val="8.0"/>
      </rPr>
      <t xml:space="preserve"> equal to (</t>
    </r>
    <r>
      <rPr>
        <rFont val="Arial"/>
        <color theme="1"/>
        <sz val="8.0"/>
        <u/>
      </rPr>
      <t>Enemy current HP</t>
    </r>
    <r>
      <rPr>
        <rFont val="Arial"/>
        <color theme="1"/>
        <sz val="8.0"/>
      </rPr>
      <t>). Player HP can never exceed 6.</t>
    </r>
  </si>
  <si>
    <r>
      <rPr>
        <rFont val="Arial"/>
        <b/>
        <i/>
        <color theme="1"/>
        <sz val="8.0"/>
      </rPr>
      <t>Edge Case:</t>
    </r>
    <r>
      <rPr>
        <rFont val="Arial"/>
        <b val="0"/>
        <i val="0"/>
        <color theme="1"/>
        <sz val="8.0"/>
      </rPr>
      <t xml:space="preserve"> If </t>
    </r>
    <r>
      <rPr>
        <rFont val="Arial"/>
        <b/>
        <i/>
        <color theme="1"/>
        <sz val="8.0"/>
      </rPr>
      <t>Fangs</t>
    </r>
    <r>
      <rPr>
        <rFont val="Arial"/>
        <b val="0"/>
        <i val="0"/>
        <color theme="1"/>
        <sz val="8.0"/>
      </rPr>
      <t xml:space="preserve"> is used and it would kill the player, the order of resolution is:
[Healing Potion], then 
[Fangs Healing].</t>
    </r>
  </si>
  <si>
    <t>Poison Flask</t>
  </si>
  <si>
    <r>
      <rPr>
        <rFont val="Arial"/>
        <color theme="1"/>
        <sz val="9.0"/>
      </rPr>
      <t xml:space="preserve">Choose </t>
    </r>
    <r>
      <rPr>
        <rFont val="Arial"/>
        <b/>
        <i/>
        <color theme="1"/>
        <sz val="9.0"/>
      </rPr>
      <t>a neighbor</t>
    </r>
    <r>
      <rPr>
        <rFont val="Arial"/>
        <color theme="1"/>
        <sz val="9.0"/>
      </rPr>
      <t>. Once they appear in combat, they lose 5 HP instantly.</t>
    </r>
  </si>
  <si>
    <t>[Choose Neighbor]
Options</t>
  </si>
  <si>
    <t>[Choose Neighbor]
[Poison]</t>
  </si>
  <si>
    <r>
      <rPr>
        <rFont val="Arial"/>
        <color theme="1"/>
        <sz val="8.0"/>
        <u/>
      </rPr>
      <t>[Choose Neighbor]</t>
    </r>
    <r>
      <rPr>
        <rFont val="Arial"/>
        <color theme="1"/>
        <sz val="8.0"/>
      </rPr>
      <t xml:space="preserve"> - A prompt appears and allows the player to select a Neighbor to the current enemy.
</t>
    </r>
    <r>
      <rPr>
        <rFont val="Arial"/>
        <color theme="1"/>
        <sz val="8.0"/>
        <u/>
      </rPr>
      <t>[Poison]</t>
    </r>
    <r>
      <rPr>
        <rFont val="Arial"/>
        <color theme="1"/>
        <sz val="8.0"/>
      </rPr>
      <t xml:space="preserve"> - Set a (Poisoned) state on that enemy. When that enemy appears </t>
    </r>
    <r>
      <rPr>
        <rFont val="Arial"/>
        <b/>
        <i/>
        <color theme="1"/>
        <sz val="8.0"/>
      </rPr>
      <t>On Spin</t>
    </r>
    <r>
      <rPr>
        <rFont val="Arial"/>
        <color theme="1"/>
        <sz val="8.0"/>
      </rPr>
      <t xml:space="preserve">, they immediately lose </t>
    </r>
    <r>
      <rPr>
        <rFont val="Arial"/>
        <b/>
        <i/>
        <color theme="1"/>
        <sz val="8.0"/>
      </rPr>
      <t>5 HP</t>
    </r>
    <r>
      <rPr>
        <rFont val="Arial"/>
        <color theme="1"/>
        <sz val="8.0"/>
      </rPr>
      <t xml:space="preserve">. This may kill the enemy, which would jump the player straight to </t>
    </r>
    <r>
      <rPr>
        <rFont val="Arial"/>
        <b/>
        <i/>
        <color theme="1"/>
        <sz val="8.0"/>
      </rPr>
      <t>Resolve Combat.</t>
    </r>
  </si>
  <si>
    <r>
      <rPr>
        <rFont val="Arial"/>
        <b/>
        <i/>
        <color theme="1"/>
        <sz val="8.0"/>
      </rPr>
      <t>Edge Case:</t>
    </r>
    <r>
      <rPr>
        <rFont val="Arial"/>
        <b val="0"/>
        <i val="0"/>
        <color theme="1"/>
        <sz val="8.0"/>
      </rPr>
      <t xml:space="preserve"> If there are 0 neighbors (this is the last enemy), this item is </t>
    </r>
    <r>
      <rPr>
        <rFont val="Arial"/>
        <b/>
        <i/>
        <color theme="1"/>
        <sz val="8.0"/>
      </rPr>
      <t>unusable</t>
    </r>
    <r>
      <rPr>
        <rFont val="Arial"/>
        <b val="0"/>
        <i val="0"/>
        <color theme="1"/>
        <sz val="8.0"/>
      </rPr>
      <t xml:space="preserve">  
</t>
    </r>
    <r>
      <rPr>
        <rFont val="Arial"/>
        <b/>
        <i/>
        <color theme="1"/>
        <sz val="8.0"/>
      </rPr>
      <t>Edge Case:</t>
    </r>
    <r>
      <rPr>
        <rFont val="Arial"/>
        <b val="0"/>
        <i val="0"/>
        <color theme="1"/>
        <sz val="8.0"/>
      </rPr>
      <t xml:space="preserve"> If the player has already used </t>
    </r>
    <r>
      <rPr>
        <rFont val="Arial"/>
        <b/>
        <i/>
        <color theme="1"/>
        <sz val="8.0"/>
      </rPr>
      <t>Crossbow</t>
    </r>
    <r>
      <rPr>
        <rFont val="Arial"/>
        <b val="0"/>
        <i val="0"/>
        <color theme="1"/>
        <sz val="8.0"/>
      </rPr>
      <t xml:space="preserve"> on a neighbor, remove them from [Choose Neighbor].
</t>
    </r>
    <r>
      <rPr>
        <rFont val="Arial"/>
        <b/>
        <i/>
        <color theme="1"/>
        <sz val="8.0"/>
      </rPr>
      <t>Edge Case:</t>
    </r>
    <r>
      <rPr>
        <rFont val="Arial"/>
        <b val="0"/>
        <i val="0"/>
        <color theme="1"/>
        <sz val="8.0"/>
      </rPr>
      <t xml:space="preserve"> The term "lose HP" is not considered ATK Dmg - in other words, this item can be used to kill </t>
    </r>
    <r>
      <rPr>
        <rFont val="Arial"/>
        <b/>
        <i/>
        <color theme="1"/>
        <sz val="8.0"/>
      </rPr>
      <t>Goblin</t>
    </r>
    <r>
      <rPr>
        <rFont val="Arial"/>
        <b val="0"/>
        <i val="0"/>
        <color theme="1"/>
        <sz val="8.0"/>
      </rPr>
      <t>.</t>
    </r>
  </si>
  <si>
    <t>Cursed Scroll</t>
  </si>
  <si>
    <t xml:space="preserve">At the start of each combat, lose 1 HP. On use, heal your HP to up to full (6). </t>
  </si>
  <si>
    <t>(HP)
(Full HP)</t>
  </si>
  <si>
    <r>
      <rPr>
        <rFont val="Arial"/>
        <b val="0"/>
        <color theme="1"/>
        <sz val="8.0"/>
      </rPr>
      <t xml:space="preserve">While </t>
    </r>
    <r>
      <rPr>
        <rFont val="Arial"/>
        <b/>
        <i/>
        <color theme="1"/>
        <sz val="8.0"/>
      </rPr>
      <t xml:space="preserve">Cursed Scroll </t>
    </r>
    <r>
      <rPr>
        <rFont val="Arial"/>
        <b val="0"/>
        <color theme="1"/>
        <sz val="8.0"/>
      </rPr>
      <t xml:space="preserve">is in the player's inventory (i.e. has not been used), the player will always </t>
    </r>
    <r>
      <rPr>
        <rFont val="Arial"/>
        <b/>
        <i/>
        <color theme="1"/>
        <sz val="8.0"/>
      </rPr>
      <t>Lose 1 HP</t>
    </r>
    <r>
      <rPr>
        <rFont val="Arial"/>
        <b val="0"/>
        <color theme="1"/>
        <sz val="8.0"/>
      </rPr>
      <t xml:space="preserve"> triggered </t>
    </r>
    <r>
      <rPr>
        <rFont val="Arial"/>
        <b/>
        <i/>
        <color theme="1"/>
        <sz val="8.0"/>
      </rPr>
      <t>On Spin</t>
    </r>
    <r>
      <rPr>
        <rFont val="Arial"/>
        <b val="0"/>
        <color theme="1"/>
        <sz val="8.0"/>
      </rPr>
      <t xml:space="preserve"> (after combat has begun).</t>
    </r>
  </si>
  <si>
    <r>
      <rPr>
        <rFont val="Arial"/>
        <b/>
        <i/>
        <color theme="1"/>
        <sz val="8.0"/>
      </rPr>
      <t xml:space="preserve">Edge Case: </t>
    </r>
    <r>
      <rPr>
        <rFont val="Arial"/>
        <b val="0"/>
        <i val="0"/>
        <color theme="1"/>
        <sz val="8.0"/>
      </rPr>
      <t xml:space="preserve">Losing 1 HP from </t>
    </r>
    <r>
      <rPr>
        <rFont val="Arial"/>
        <b/>
        <i/>
        <color theme="1"/>
        <sz val="8.0"/>
      </rPr>
      <t>Cursed Scroll</t>
    </r>
    <r>
      <rPr>
        <rFont val="Arial"/>
        <b val="0"/>
        <i val="0"/>
        <color theme="1"/>
        <sz val="8.0"/>
      </rPr>
      <t xml:space="preserve"> should count for (</t>
    </r>
    <r>
      <rPr>
        <rFont val="Arial"/>
        <b/>
        <i val="0"/>
        <color theme="1"/>
        <sz val="8.0"/>
      </rPr>
      <t>Did Lose HP?</t>
    </r>
    <r>
      <rPr>
        <rFont val="Arial"/>
        <b val="0"/>
        <i val="0"/>
        <color theme="1"/>
        <sz val="8.0"/>
      </rPr>
      <t xml:space="preserve">), making this synergistic with </t>
    </r>
    <r>
      <rPr>
        <rFont val="Arial"/>
        <b/>
        <i/>
        <color theme="1"/>
        <sz val="8.0"/>
      </rPr>
      <t>Breastplate</t>
    </r>
    <r>
      <rPr>
        <rFont val="Arial"/>
        <b val="0"/>
        <i val="0"/>
        <color theme="1"/>
        <sz val="8.0"/>
      </rPr>
      <t>.</t>
    </r>
  </si>
  <si>
    <t>Spiked Flail</t>
  </si>
  <si>
    <t>(ATK 2+X), where X is the number of monsters you have defeated.</t>
  </si>
  <si>
    <t>[Highest HP]</t>
  </si>
  <si>
    <r>
      <rPr>
        <rFont val="Arial"/>
        <color theme="1"/>
        <sz val="8.0"/>
        <u/>
      </rPr>
      <t>[Highest HP]:</t>
    </r>
    <r>
      <rPr>
        <rFont val="Arial"/>
        <color theme="1"/>
        <sz val="8.0"/>
      </rPr>
      <t xml:space="preserve"> Compares the player's </t>
    </r>
    <r>
      <rPr>
        <rFont val="Arial"/>
        <b/>
        <i/>
        <color theme="1"/>
        <sz val="8.0"/>
      </rPr>
      <t>current</t>
    </r>
    <r>
      <rPr>
        <rFont val="Arial"/>
        <color theme="1"/>
        <sz val="8.0"/>
      </rPr>
      <t xml:space="preserve"> </t>
    </r>
    <r>
      <rPr>
        <rFont val="Arial"/>
        <b/>
        <i/>
        <color theme="1"/>
        <sz val="8.0"/>
      </rPr>
      <t>HP</t>
    </r>
    <r>
      <rPr>
        <rFont val="Arial"/>
        <color theme="1"/>
        <sz val="8.0"/>
      </rPr>
      <t xml:space="preserve"> against the enemy's </t>
    </r>
    <r>
      <rPr>
        <rFont val="Arial"/>
        <b/>
        <i/>
        <color theme="1"/>
        <sz val="8.0"/>
      </rPr>
      <t>current HP</t>
    </r>
    <r>
      <rPr>
        <rFont val="Arial"/>
        <color theme="1"/>
        <sz val="8.0"/>
      </rPr>
      <t xml:space="preserve"> and takes the higher value as </t>
    </r>
    <r>
      <rPr>
        <rFont val="Arial"/>
        <b/>
        <i/>
        <color theme="1"/>
        <sz val="8.0"/>
      </rPr>
      <t>X</t>
    </r>
    <r>
      <rPr>
        <rFont val="Arial"/>
        <color theme="1"/>
        <sz val="8.0"/>
      </rPr>
      <t xml:space="preserve"> (or the Player's value if tied).
This "check" occurs every time the enemy's HP changes, or the player's HP changes.</t>
    </r>
  </si>
  <si>
    <t>Healing Potion</t>
  </si>
  <si>
    <r>
      <rPr>
        <rFont val="Arial"/>
        <b/>
        <i/>
        <color theme="1"/>
        <sz val="9.0"/>
      </rPr>
      <t xml:space="preserve">Unplayable. 
</t>
    </r>
    <r>
      <rPr>
        <rFont val="Arial"/>
        <color theme="1"/>
        <sz val="9.0"/>
      </rPr>
      <t>When you would die, discard this and heal up to 3 HP.</t>
    </r>
  </si>
  <si>
    <t>(HP)
(Player Dead?)</t>
  </si>
  <si>
    <t>[Healing Potion]</t>
  </si>
  <si>
    <r>
      <rPr>
        <rFont val="Arial"/>
        <color theme="1"/>
        <sz val="8.0"/>
        <u/>
      </rPr>
      <t>Healing Potion</t>
    </r>
    <r>
      <rPr>
        <rFont val="Arial"/>
        <color theme="1"/>
        <sz val="8.0"/>
      </rPr>
      <t xml:space="preserve"> If player HP ever equals 0, immediately </t>
    </r>
    <r>
      <rPr>
        <rFont val="Arial"/>
        <b/>
        <i/>
        <color theme="1"/>
        <sz val="8.0"/>
      </rPr>
      <t>Discard</t>
    </r>
    <r>
      <rPr>
        <rFont val="Arial"/>
        <color theme="1"/>
        <sz val="8.0"/>
      </rPr>
      <t xml:space="preserve"> this item and set the player's </t>
    </r>
    <r>
      <rPr>
        <rFont val="Arial"/>
        <b/>
        <i/>
        <color theme="1"/>
        <sz val="8.0"/>
      </rPr>
      <t>HP</t>
    </r>
    <r>
      <rPr>
        <rFont val="Arial"/>
        <color theme="1"/>
        <sz val="8.0"/>
      </rPr>
      <t xml:space="preserve"> ot 4.</t>
    </r>
  </si>
  <si>
    <r>
      <rPr>
        <rFont val="Arial"/>
        <b/>
        <i/>
        <color theme="1"/>
        <sz val="8.0"/>
      </rPr>
      <t>Edge Case:</t>
    </r>
    <r>
      <rPr>
        <rFont val="Arial"/>
        <b val="0"/>
        <i val="0"/>
        <color theme="1"/>
        <sz val="8.0"/>
      </rPr>
      <t xml:space="preserve"> If </t>
    </r>
    <r>
      <rPr>
        <rFont val="Arial"/>
        <b/>
        <i/>
        <color theme="1"/>
        <sz val="8.0"/>
      </rPr>
      <t>Fangs</t>
    </r>
    <r>
      <rPr>
        <rFont val="Arial"/>
        <b val="0"/>
        <i val="0"/>
        <color theme="1"/>
        <sz val="8.0"/>
      </rPr>
      <t xml:space="preserve"> is used and it would kill the player, the order of resolution is:
[Healing Potion], then 
[Fangs Healing].</t>
    </r>
  </si>
  <si>
    <t>Crossbow</t>
  </si>
  <si>
    <r>
      <rPr>
        <rFont val="Arial"/>
        <color theme="1"/>
        <sz val="9.0"/>
      </rPr>
      <t xml:space="preserve">Select a neighbor with 4 or less HP. </t>
    </r>
    <r>
      <rPr>
        <rFont val="Arial"/>
        <b/>
        <i/>
        <color theme="1"/>
        <sz val="9.0"/>
      </rPr>
      <t>Defeat</t>
    </r>
    <r>
      <rPr>
        <rFont val="Arial"/>
        <color theme="1"/>
        <sz val="9.0"/>
      </rPr>
      <t xml:space="preserve"> them after combat ends.</t>
    </r>
  </si>
  <si>
    <t>[Choose Eligible Neighbor]
Options</t>
  </si>
  <si>
    <t>&gt;On Spin
&gt;On Crossbow Mark</t>
  </si>
  <si>
    <t>[Choose Elligible Neighbors]
[Crossbow Mark]
[Multi-Defeat]</t>
  </si>
  <si>
    <r>
      <rPr>
        <rFont val="Arial"/>
        <color theme="1"/>
        <sz val="8.0"/>
        <u/>
      </rPr>
      <t>[Choose Elligible Neighbors]</t>
    </r>
    <r>
      <rPr>
        <rFont val="Arial"/>
        <color theme="1"/>
        <sz val="8.0"/>
      </rPr>
      <t xml:space="preserve"> - Like [Choose Neighbor], but only show selectable neighbors based on the criterion (in this case, </t>
    </r>
    <r>
      <rPr>
        <rFont val="Arial"/>
        <b/>
        <i/>
        <color theme="1"/>
        <sz val="8.0"/>
      </rPr>
      <t>HP</t>
    </r>
    <r>
      <rPr>
        <rFont val="Arial"/>
        <color theme="1"/>
        <sz val="8.0"/>
      </rPr>
      <t xml:space="preserve"> equal to 4 or less).
</t>
    </r>
    <r>
      <rPr>
        <rFont val="Arial"/>
        <color theme="1"/>
        <sz val="8.0"/>
        <u/>
      </rPr>
      <t>[Crossbow Mark</t>
    </r>
    <r>
      <rPr>
        <rFont val="Arial"/>
        <color theme="1"/>
        <sz val="8.0"/>
      </rPr>
      <t xml:space="preserve">] - Set a (Crossbow Mark) state on the enemy. </t>
    </r>
    <r>
      <rPr>
        <rFont val="Arial"/>
        <b/>
        <i/>
        <color theme="1"/>
        <sz val="8.0"/>
      </rPr>
      <t>On Resolve Combat</t>
    </r>
    <r>
      <rPr>
        <rFont val="Arial"/>
        <color theme="1"/>
        <sz val="8.0"/>
      </rPr>
      <t xml:space="preserve">, this enemy will be </t>
    </r>
    <r>
      <rPr>
        <rFont val="Arial"/>
        <b/>
        <i/>
        <color theme="1"/>
        <sz val="8.0"/>
      </rPr>
      <t>Defeated</t>
    </r>
    <r>
      <rPr>
        <rFont val="Arial"/>
        <color theme="1"/>
        <sz val="8.0"/>
      </rPr>
      <t xml:space="preserve">.
</t>
    </r>
    <r>
      <rPr>
        <rFont val="Arial"/>
        <color theme="1"/>
        <sz val="8.0"/>
        <u/>
      </rPr>
      <t>[Multi-Defeat]</t>
    </r>
    <r>
      <rPr>
        <rFont val="Arial"/>
        <color theme="1"/>
        <sz val="8.0"/>
      </rPr>
      <t xml:space="preserve"> - </t>
    </r>
    <r>
      <rPr>
        <rFont val="Arial"/>
        <b/>
        <i/>
        <color theme="1"/>
        <sz val="8.0"/>
      </rPr>
      <t>On Resolve Combat</t>
    </r>
    <r>
      <rPr>
        <rFont val="Arial"/>
        <color theme="1"/>
        <sz val="8.0"/>
      </rPr>
      <t xml:space="preserve">, it is possible for multiple enemies to be </t>
    </r>
    <r>
      <rPr>
        <rFont val="Arial"/>
        <b/>
        <i/>
        <color theme="1"/>
        <sz val="8.0"/>
      </rPr>
      <t>Defeated</t>
    </r>
    <r>
      <rPr>
        <rFont val="Arial"/>
        <color theme="1"/>
        <sz val="8.0"/>
      </rPr>
      <t xml:space="preserve"> at once. In this case, perform </t>
    </r>
    <r>
      <rPr>
        <rFont val="Arial"/>
        <b/>
        <i/>
        <color theme="1"/>
        <sz val="8.0"/>
      </rPr>
      <t>Remove Slice</t>
    </r>
    <r>
      <rPr>
        <rFont val="Arial"/>
        <color theme="1"/>
        <sz val="8.0"/>
      </rPr>
      <t xml:space="preserve"> for the immediate enemy, then perform </t>
    </r>
    <r>
      <rPr>
        <rFont val="Arial"/>
        <b/>
        <i/>
        <color theme="1"/>
        <sz val="8.0"/>
      </rPr>
      <t>Remove Slice</t>
    </r>
    <r>
      <rPr>
        <rFont val="Arial"/>
        <color theme="1"/>
        <sz val="8.0"/>
      </rPr>
      <t xml:space="preserve"> for neighboring enemies defeated by </t>
    </r>
    <r>
      <rPr>
        <rFont val="Arial"/>
        <b/>
        <i/>
        <color theme="1"/>
        <sz val="8.0"/>
      </rPr>
      <t>Crossbow</t>
    </r>
    <r>
      <rPr>
        <rFont val="Arial"/>
        <color theme="1"/>
        <sz val="8.0"/>
      </rPr>
      <t xml:space="preserve"> (in any order).</t>
    </r>
  </si>
  <si>
    <r>
      <rPr>
        <rFont val="Arial"/>
        <b/>
        <i/>
        <color theme="1"/>
        <sz val="8.0"/>
      </rPr>
      <t>Edge Case:</t>
    </r>
    <r>
      <rPr>
        <rFont val="Arial"/>
        <b val="0"/>
        <i val="0"/>
        <color theme="1"/>
        <sz val="8.0"/>
      </rPr>
      <t xml:space="preserve"> If there are 0 neighbors (this is the last enemy), this item is </t>
    </r>
    <r>
      <rPr>
        <rFont val="Arial"/>
        <b/>
        <i/>
        <color theme="1"/>
        <sz val="8.0"/>
      </rPr>
      <t>unusable</t>
    </r>
    <r>
      <rPr>
        <rFont val="Arial"/>
        <b val="0"/>
        <i val="0"/>
        <color theme="1"/>
        <sz val="8.0"/>
      </rPr>
      <t xml:space="preserve">  
</t>
    </r>
    <r>
      <rPr>
        <rFont val="Arial"/>
        <b/>
        <i/>
        <color theme="1"/>
        <sz val="8.0"/>
      </rPr>
      <t>Edge Case:</t>
    </r>
    <r>
      <rPr>
        <rFont val="Arial"/>
        <b val="0"/>
        <i val="0"/>
        <color theme="1"/>
        <sz val="8.0"/>
      </rPr>
      <t xml:space="preserve"> If the player has already used </t>
    </r>
    <r>
      <rPr>
        <rFont val="Arial"/>
        <b/>
        <i/>
        <color theme="1"/>
        <sz val="8.0"/>
      </rPr>
      <t>Poison Flask</t>
    </r>
    <r>
      <rPr>
        <rFont val="Arial"/>
        <b val="0"/>
        <i val="0"/>
        <color theme="1"/>
        <sz val="8.0"/>
      </rPr>
      <t xml:space="preserve"> on a neighbor, remove them from [Choose Elligible Neighbors].</t>
    </r>
  </si>
  <si>
    <t>Sledgehammer</t>
  </si>
  <si>
    <t>Defeat an enemy with 5 or more ATK.</t>
  </si>
  <si>
    <t>(Is enemy ATK 5+?)</t>
  </si>
  <si>
    <r>
      <rPr>
        <rFont val="Arial"/>
        <color theme="1"/>
        <sz val="9.0"/>
      </rPr>
      <t xml:space="preserve">Updates whenver </t>
    </r>
    <r>
      <rPr>
        <rFont val="Arial"/>
        <b/>
        <color theme="1"/>
        <sz val="9.0"/>
      </rPr>
      <t>(Is enemy ATK 5+?)</t>
    </r>
    <r>
      <rPr>
        <rFont val="Arial"/>
        <color theme="1"/>
        <sz val="9.0"/>
      </rPr>
      <t xml:space="preserve"> updates, to match it.</t>
    </r>
  </si>
  <si>
    <r>
      <rPr>
        <rFont val="Arial"/>
        <color theme="1"/>
        <sz val="8.0"/>
      </rPr>
      <t xml:space="preserve">When used, </t>
    </r>
    <r>
      <rPr>
        <rFont val="Arial"/>
        <b/>
        <i/>
        <color theme="1"/>
        <sz val="8.0"/>
      </rPr>
      <t>Resolve Combat</t>
    </r>
    <r>
      <rPr>
        <rFont val="Arial"/>
        <color theme="1"/>
        <sz val="8.0"/>
      </rPr>
      <t xml:space="preserve"> immediately, skipping ATK/BLK resolution.</t>
    </r>
  </si>
  <si>
    <t>Pocketwatch</t>
  </si>
  <si>
    <t>(ATK X) equal to the ATK of the strongest neighboring enemy.</t>
  </si>
  <si>
    <r>
      <rPr>
        <rFont val="Arial"/>
        <b/>
        <i/>
        <color theme="1"/>
        <sz val="8.0"/>
      </rPr>
      <t>Edge Case:</t>
    </r>
    <r>
      <rPr>
        <rFont val="Arial"/>
        <b val="0"/>
        <i val="0"/>
        <color theme="1"/>
        <sz val="8.0"/>
      </rPr>
      <t xml:space="preserve"> When fighting the final enemy, this item becomes </t>
    </r>
    <r>
      <rPr>
        <rFont val="Arial"/>
        <b/>
        <i/>
        <color theme="1"/>
        <sz val="8.0"/>
      </rPr>
      <t>unusable</t>
    </r>
    <r>
      <rPr>
        <rFont val="Arial"/>
        <b val="0"/>
        <i val="0"/>
        <color theme="1"/>
        <sz val="8.0"/>
      </rPr>
      <t>.</t>
    </r>
  </si>
  <si>
    <t>Dagger</t>
  </si>
  <si>
    <t>(ATK 2), then return to your hand.</t>
  </si>
  <si>
    <t>[Tap]
[Untap]</t>
  </si>
  <si>
    <r>
      <rPr>
        <rFont val="Arial"/>
        <color theme="1"/>
        <sz val="8.0"/>
      </rPr>
      <t xml:space="preserve">Do not discard this item on use, but </t>
    </r>
    <r>
      <rPr>
        <rFont val="Arial"/>
        <b/>
        <i/>
        <color theme="1"/>
        <sz val="8.0"/>
      </rPr>
      <t>Tap</t>
    </r>
    <r>
      <rPr>
        <rFont val="Arial"/>
        <color theme="1"/>
        <sz val="8.0"/>
      </rPr>
      <t xml:space="preserve"> the item.
</t>
    </r>
    <r>
      <rPr>
        <rFont val="Arial"/>
        <b/>
        <i/>
        <color theme="1"/>
        <sz val="8.0"/>
      </rPr>
      <t>Untap</t>
    </r>
    <r>
      <rPr>
        <rFont val="Arial"/>
        <color theme="1"/>
        <sz val="8.0"/>
      </rPr>
      <t xml:space="preserve"> always occurs </t>
    </r>
    <r>
      <rPr>
        <rFont val="Arial"/>
        <b/>
        <i/>
        <color theme="1"/>
        <sz val="8.0"/>
      </rPr>
      <t>On Resolve Combat</t>
    </r>
  </si>
  <si>
    <t>(enemy HP)</t>
  </si>
  <si>
    <t>&gt;On Spin
&gt;On Enemy HP Change</t>
  </si>
  <si>
    <r>
      <rPr>
        <rFont val="Arial"/>
        <color theme="1"/>
        <sz val="8.0"/>
      </rPr>
      <t xml:space="preserve">This check occurs each time an enemy's HP changes </t>
    </r>
    <r>
      <rPr>
        <rFont val="Arial"/>
        <b/>
        <i/>
        <color theme="1"/>
        <sz val="8.0"/>
      </rPr>
      <t>during combat</t>
    </r>
    <r>
      <rPr>
        <rFont val="Arial"/>
        <color theme="1"/>
        <sz val="8.0"/>
      </rPr>
      <t>.</t>
    </r>
  </si>
  <si>
    <t>Bandana</t>
  </si>
  <si>
    <t xml:space="preserve">At the start of each combat, lose 1 HP. </t>
  </si>
  <si>
    <t>Art?</t>
  </si>
  <si>
    <t>Updated</t>
  </si>
  <si>
    <t>Patch Notes</t>
  </si>
  <si>
    <t>HP 6-&gt;7</t>
  </si>
  <si>
    <t>Rework: changed HP to 
"X=Your HP at the start of combat"</t>
  </si>
  <si>
    <t>(5/2) - Nerfed to (1+X) for ATK
(4/24) - Rework: changed ATK and HP to
(3+X), where X=Number of Mobs defeated</t>
  </si>
  <si>
    <t>Rework: changed HP to
(1+X), where X=Number of Mobs</t>
  </si>
  <si>
    <t>(Slight) Rework: Set base ATK to 3, then added ability for it to match Neighbor's ATK if higher.</t>
  </si>
  <si>
    <t>Rework: Mimic now only gives item if it is defeated before it can attack.</t>
  </si>
  <si>
    <t>Rework: Changed HP &amp; ATK, created
"Attacks Twice" condition</t>
  </si>
  <si>
    <t>Rework: removed "Double Item" and instead created "Double ATK/BLK" function. 
Changed HP and ATK to 10</t>
  </si>
  <si>
    <t>Rework: Combined "Sword" and "Dagger" into this item.</t>
  </si>
  <si>
    <t>Rework: Changed BLK from
X = Enemy HP
to
X = Lowest HP between you and enemy</t>
  </si>
  <si>
    <t>Rework: removed "choose ATK or BLK" and changed to
(BLK X), X=Lowest neighboring ATK</t>
  </si>
  <si>
    <t>Tier 2--&gt;3
Nerfed from Heal 4--&gt;3</t>
  </si>
  <si>
    <t>(Slight) rework: does not "Defeat" enemy, but instead removes 5 HP at start of combat (which will likely defeat them).</t>
  </si>
  <si>
    <t>Rework: Changed ATK from
(2X), X=Lowest HP between you and enemy
to
(2+X), X=Mobs defeated</t>
  </si>
  <si>
    <t>Monster/Item</t>
  </si>
  <si>
    <t>Main Game Flow</t>
  </si>
  <si>
    <t>Place Starters</t>
  </si>
  <si>
    <t>Notes</t>
  </si>
  <si>
    <t>Dungeon Draft</t>
  </si>
  <si>
    <t>[Add Monster]</t>
  </si>
  <si>
    <t>[Bribe Monster]</t>
  </si>
  <si>
    <t>Combat</t>
  </si>
  <si>
    <t>Startup</t>
  </si>
  <si>
    <t>Menu, splashscreen, start button</t>
  </si>
  <si>
    <t>[Pick Tier]</t>
  </si>
  <si>
    <t>Randomly pick tier with these odds: 1 (40%), 2 (35%), 3 (25%)</t>
  </si>
  <si>
    <t>[Pick Slot]</t>
  </si>
  <si>
    <r>
      <rPr>
        <rFont val="Arial"/>
        <color theme="1"/>
        <sz val="9.0"/>
      </rPr>
      <t xml:space="preserve">Drag the </t>
    </r>
    <r>
      <rPr>
        <rFont val="Arial"/>
        <b/>
        <i/>
        <color theme="1"/>
        <sz val="9.0"/>
      </rPr>
      <t>Monster</t>
    </r>
    <r>
      <rPr>
        <rFont val="Arial"/>
        <color theme="1"/>
        <sz val="9.0"/>
      </rPr>
      <t xml:space="preserve"> onto the slot.</t>
    </r>
  </si>
  <si>
    <r>
      <rPr>
        <rFont val="Arial"/>
        <color theme="1"/>
        <sz val="9.0"/>
      </rPr>
      <t xml:space="preserve">Drag the </t>
    </r>
    <r>
      <rPr>
        <rFont val="Arial"/>
        <b/>
        <i/>
        <color theme="1"/>
        <sz val="9.0"/>
      </rPr>
      <t>Item</t>
    </r>
    <r>
      <rPr>
        <rFont val="Arial"/>
        <color theme="1"/>
        <sz val="9.0"/>
      </rPr>
      <t xml:space="preserve"> onto the slot.</t>
    </r>
  </si>
  <si>
    <t>[Spin]</t>
  </si>
  <si>
    <r>
      <rPr>
        <rFont val="Arial"/>
        <color theme="1"/>
        <sz val="9.0"/>
      </rPr>
      <t xml:space="preserve">Spin the wheel (w/ animation). Randomly choose a </t>
    </r>
    <r>
      <rPr>
        <rFont val="Arial"/>
        <b/>
        <i/>
        <color theme="1"/>
        <sz val="9.0"/>
      </rPr>
      <t>Monster to Face</t>
    </r>
  </si>
  <si>
    <t>Initial dungeon state (starter items/ monsters)</t>
  </si>
  <si>
    <t>[Pick Monster, Starter]</t>
  </si>
  <si>
    <r>
      <rPr>
        <rFont val="Arial"/>
        <color theme="1"/>
        <sz val="9.0"/>
      </rPr>
      <t xml:space="preserve">Based on </t>
    </r>
    <r>
      <rPr>
        <rFont val="Arial"/>
        <b/>
        <i/>
        <color theme="1"/>
        <sz val="9.0"/>
      </rPr>
      <t>Tier</t>
    </r>
    <r>
      <rPr>
        <rFont val="Arial"/>
        <color theme="1"/>
        <sz val="9.0"/>
      </rPr>
      <t xml:space="preserve">, look at </t>
    </r>
    <r>
      <rPr>
        <rFont val="Arial"/>
        <b/>
        <i/>
        <color theme="1"/>
        <sz val="9.0"/>
      </rPr>
      <t>Monsters</t>
    </r>
    <r>
      <rPr>
        <rFont val="Arial"/>
        <color theme="1"/>
        <sz val="9.0"/>
      </rPr>
      <t xml:space="preserve"> classified as </t>
    </r>
    <r>
      <rPr>
        <rFont val="Arial"/>
        <b/>
        <i/>
        <color theme="1"/>
        <sz val="9.0"/>
      </rPr>
      <t>Starter</t>
    </r>
    <r>
      <rPr>
        <rFont val="Arial"/>
        <color theme="1"/>
        <sz val="9.0"/>
      </rPr>
      <t xml:space="preserve"> and pick one at random. Remove the selected monster from the available pool of Monsters.</t>
    </r>
  </si>
  <si>
    <t>[Pick Monster]</t>
  </si>
  <si>
    <r>
      <rPr>
        <rFont val="Arial"/>
        <color theme="1"/>
        <sz val="9.0"/>
      </rPr>
      <t xml:space="preserve">Based on </t>
    </r>
    <r>
      <rPr>
        <rFont val="Arial"/>
        <b/>
        <i/>
        <color theme="1"/>
        <sz val="9.0"/>
      </rPr>
      <t>Tier</t>
    </r>
    <r>
      <rPr>
        <rFont val="Arial"/>
        <color theme="1"/>
        <sz val="9.0"/>
      </rPr>
      <t xml:space="preserve">, look at </t>
    </r>
    <r>
      <rPr>
        <rFont val="Arial"/>
        <b/>
        <i/>
        <color theme="1"/>
        <sz val="9.0"/>
      </rPr>
      <t>Monsters</t>
    </r>
    <r>
      <rPr>
        <rFont val="Arial"/>
        <color theme="1"/>
        <sz val="9.0"/>
      </rPr>
      <t xml:space="preserve"> and pick any avalilable monster at random. Remove the selected monster from the available pool of Monsters.</t>
    </r>
  </si>
  <si>
    <t>Update Monster Pool</t>
  </si>
  <si>
    <r>
      <rPr>
        <rFont val="Arial"/>
        <color theme="1"/>
        <sz val="9.0"/>
      </rPr>
      <t xml:space="preserve">Remove the </t>
    </r>
    <r>
      <rPr>
        <rFont val="Arial"/>
        <b/>
        <i/>
        <color theme="1"/>
        <sz val="9.0"/>
      </rPr>
      <t xml:space="preserve">Monster </t>
    </r>
    <r>
      <rPr>
        <rFont val="Arial"/>
        <color theme="1"/>
        <sz val="9.0"/>
      </rPr>
      <t>from the available pool. The UI will indicate this with some kind of marker in the top-right corner.</t>
    </r>
  </si>
  <si>
    <r>
      <rPr>
        <rFont val="Arial"/>
        <color theme="1"/>
        <sz val="9.0"/>
      </rPr>
      <t xml:space="preserve">Remove the </t>
    </r>
    <r>
      <rPr>
        <rFont val="Arial"/>
        <b/>
        <i/>
        <color theme="1"/>
        <sz val="9.0"/>
      </rPr>
      <t xml:space="preserve">Monster </t>
    </r>
    <r>
      <rPr>
        <rFont val="Arial"/>
        <color theme="1"/>
        <sz val="9.0"/>
      </rPr>
      <t>from the available pool. The UI will indicate this with some kind of marker in the top-right corner.</t>
    </r>
  </si>
  <si>
    <t>[Resolve Spin Variables]</t>
  </si>
  <si>
    <t>Once the enemy is determined, there are several variables to update. Click to view them.</t>
  </si>
  <si>
    <t>Dungeon drafting gameplay (draw 2, place or bribe)</t>
  </si>
  <si>
    <t>[Place Monster]</t>
  </si>
  <si>
    <t>Place this monster in the wheel.</t>
  </si>
  <si>
    <t>For now, let's assume these traits about setting up the wheel - 8 slots, place the starting 4 monsters at NESW (cardinal directions, in that order), leaving 'blank' spots in-between them.</t>
  </si>
  <si>
    <t>[Pick Item]</t>
  </si>
  <si>
    <t>Exactly the same as 
[Pick Monster]</t>
  </si>
  <si>
    <t>[Add Item]</t>
  </si>
  <si>
    <r>
      <rPr>
        <rFont val="Arial"/>
        <color theme="1"/>
        <sz val="9.0"/>
      </rPr>
      <t xml:space="preserve">Add the </t>
    </r>
    <r>
      <rPr>
        <rFont val="Arial"/>
        <b/>
        <i/>
        <color theme="1"/>
        <sz val="9.0"/>
      </rPr>
      <t>Item</t>
    </r>
    <r>
      <rPr>
        <rFont val="Arial"/>
        <color theme="1"/>
        <sz val="9.0"/>
      </rPr>
      <t xml:space="preserve"> into your inventory (hotbar). Remove the </t>
    </r>
    <r>
      <rPr>
        <rFont val="Arial"/>
        <b/>
        <i/>
        <color theme="1"/>
        <sz val="9.0"/>
      </rPr>
      <t>Item</t>
    </r>
    <r>
      <rPr>
        <rFont val="Arial"/>
        <color theme="1"/>
        <sz val="9.0"/>
      </rPr>
      <t xml:space="preserve"> from the available pool.</t>
    </r>
  </si>
  <si>
    <t>Update Item Pool</t>
  </si>
  <si>
    <r>
      <rPr>
        <rFont val="Arial"/>
        <color theme="1"/>
        <sz val="9.0"/>
      </rPr>
      <t xml:space="preserve">Remove the </t>
    </r>
    <r>
      <rPr>
        <rFont val="Arial"/>
        <b/>
        <i/>
        <color theme="1"/>
        <sz val="9.0"/>
      </rPr>
      <t>Item</t>
    </r>
    <r>
      <rPr>
        <rFont val="Arial"/>
        <color theme="1"/>
        <sz val="9.0"/>
      </rPr>
      <t xml:space="preserve"> from the available pool.</t>
    </r>
  </si>
  <si>
    <t>Display to Player</t>
  </si>
  <si>
    <t>Display the Monster to the player. Shift the UI to focus on their stats, while making the wheel available to view.</t>
  </si>
  <si>
    <t>Spin, Fight, Resolve Combat, repeat</t>
  </si>
  <si>
    <t>[Pick Item, Starter]</t>
  </si>
  <si>
    <t>Exactly the same as 
[Pick Monster, Starter]</t>
  </si>
  <si>
    <t>Display Both To Player</t>
  </si>
  <si>
    <t>The UI allows the player a choice: either keep both (placing a mob in the dungeon), or banish both (and block a slot in the dungeon).</t>
  </si>
  <si>
    <r>
      <rPr>
        <rFont val="Arial"/>
        <color theme="1"/>
      </rPr>
      <t xml:space="preserve">Idea for UI: the player either drags the </t>
    </r>
    <r>
      <rPr>
        <rFont val="Arial"/>
        <b/>
        <i/>
        <color theme="1"/>
      </rPr>
      <t>Monster</t>
    </r>
    <r>
      <rPr>
        <rFont val="Arial"/>
        <color theme="1"/>
      </rPr>
      <t xml:space="preserve"> into the dungeon slot they want (and the </t>
    </r>
    <r>
      <rPr>
        <rFont val="Arial"/>
        <b/>
        <i/>
        <color theme="1"/>
      </rPr>
      <t>Item</t>
    </r>
    <r>
      <rPr>
        <rFont val="Arial"/>
        <color theme="1"/>
      </rPr>
      <t xml:space="preserve"> automatically moves into their </t>
    </r>
    <r>
      <rPr>
        <rFont val="Arial"/>
        <b/>
        <i/>
        <color theme="1"/>
      </rPr>
      <t>Hotbar</t>
    </r>
    <r>
      <rPr>
        <rFont val="Arial"/>
        <color theme="1"/>
      </rPr>
      <t xml:space="preserve">), or they drag the </t>
    </r>
    <r>
      <rPr>
        <rFont val="Arial"/>
        <b/>
        <i/>
        <color theme="1"/>
      </rPr>
      <t xml:space="preserve">Item </t>
    </r>
    <r>
      <rPr>
        <rFont val="Arial"/>
        <color theme="1"/>
      </rPr>
      <t xml:space="preserve">into the dungeon slot they wish to block (and the </t>
    </r>
    <r>
      <rPr>
        <rFont val="Arial"/>
        <b/>
        <i/>
        <color theme="1"/>
      </rPr>
      <t>Monster</t>
    </r>
    <r>
      <rPr>
        <rFont val="Arial"/>
        <color theme="1"/>
      </rPr>
      <t xml:space="preserve"> automatically disappears).</t>
    </r>
  </si>
  <si>
    <t>[Resolve Draft Variables]</t>
  </si>
  <si>
    <t>Game updates several other variables. Click to view how.</t>
  </si>
  <si>
    <t>(Is Poisoned?)</t>
  </si>
  <si>
    <r>
      <rPr>
        <rFont val="Arial"/>
        <color theme="1"/>
        <sz val="9.0"/>
      </rPr>
      <t>Checks if the enemy is poisoned. If yes, skip straight to [</t>
    </r>
    <r>
      <rPr>
        <rFont val="Arial"/>
        <b/>
        <i/>
        <color theme="1"/>
        <sz val="9.0"/>
      </rPr>
      <t>Defeat Enemy</t>
    </r>
    <r>
      <rPr>
        <rFont val="Arial"/>
        <b/>
        <color theme="1"/>
        <sz val="9.0"/>
      </rPr>
      <t xml:space="preserve">] </t>
    </r>
    <r>
      <rPr>
        <rFont val="Arial"/>
        <color theme="1"/>
        <sz val="9.0"/>
      </rPr>
      <t xml:space="preserve">under </t>
    </r>
    <r>
      <rPr>
        <rFont val="Arial"/>
        <b/>
        <color theme="1"/>
        <sz val="9.0"/>
      </rPr>
      <t>[Resolve Combat]</t>
    </r>
  </si>
  <si>
    <t>Endgame</t>
  </si>
  <si>
    <t>Death or Victory</t>
  </si>
  <si>
    <r>
      <rPr>
        <rFont val="Arial"/>
        <color theme="1"/>
      </rPr>
      <t>Repeat this flow until (</t>
    </r>
    <r>
      <rPr>
        <rFont val="Arial"/>
        <b/>
        <color theme="1"/>
      </rPr>
      <t>Starter #</t>
    </r>
    <r>
      <rPr>
        <rFont val="Arial"/>
        <color theme="1"/>
      </rPr>
      <t>) fulfilled.</t>
    </r>
  </si>
  <si>
    <r>
      <rPr>
        <rFont val="Arial"/>
        <color theme="1"/>
        <sz val="9.0"/>
      </rPr>
      <t xml:space="preserve">By default, this is 4. Later we can add a "Hard" mode whose </t>
    </r>
    <r>
      <rPr>
        <rFont val="Arial"/>
        <b/>
        <i/>
        <color theme="1"/>
        <sz val="9.0"/>
      </rPr>
      <t>only change</t>
    </r>
    <r>
      <rPr>
        <rFont val="Arial"/>
        <color theme="1"/>
        <sz val="9.0"/>
      </rPr>
      <t xml:space="preserve"> is to make this number 5.</t>
    </r>
  </si>
  <si>
    <t>Player chooses one of the following functions.</t>
  </si>
  <si>
    <t>[Neighbors Check]</t>
  </si>
  <si>
    <t>Game checks all wheel segments for neighbors and then makes updates to variables. Click to view how.</t>
  </si>
  <si>
    <t>[Remove Slice]</t>
  </si>
  <si>
    <r>
      <rPr>
        <rFont val="Arial"/>
        <color theme="1"/>
        <sz val="9.0"/>
      </rPr>
      <t xml:space="preserve">Remove the blocked slice from the game, bringing its neighboring slices together and causing them to become </t>
    </r>
    <r>
      <rPr>
        <rFont val="Arial"/>
        <b/>
        <i/>
        <color theme="1"/>
        <sz val="9.0"/>
      </rPr>
      <t>neighbors</t>
    </r>
    <r>
      <rPr>
        <rFont val="Arial"/>
        <color theme="1"/>
        <sz val="9.0"/>
      </rPr>
      <t>.</t>
    </r>
  </si>
  <si>
    <t>[Use Item]</t>
  </si>
  <si>
    <t>This flow represents the use of a single item, which can have several consequences. Click to view how.</t>
  </si>
  <si>
    <t>[Resolve Starter Variables]</t>
  </si>
  <si>
    <r>
      <rPr>
        <rFont val="Arial"/>
        <color theme="1"/>
      </rPr>
      <t xml:space="preserve">At this step, only </t>
    </r>
    <r>
      <rPr>
        <rFont val="Arial"/>
        <b/>
        <i/>
        <color theme="1"/>
      </rPr>
      <t>some variables</t>
    </r>
    <r>
      <rPr>
        <rFont val="Arial"/>
        <color theme="1"/>
      </rPr>
      <t xml:space="preserve"> should be updated. Click the function to see which ones.</t>
    </r>
  </si>
  <si>
    <t>Repeat this flow until all slots are filled</t>
  </si>
  <si>
    <r>
      <rPr>
        <rFont val="Arial"/>
        <color theme="1"/>
        <sz val="9.0"/>
      </rPr>
      <t>By default, this will be (</t>
    </r>
    <r>
      <rPr>
        <rFont val="Arial"/>
        <b/>
        <color theme="1"/>
        <sz val="9.0"/>
      </rPr>
      <t>Starter #</t>
    </r>
    <r>
      <rPr>
        <rFont val="Arial"/>
        <color theme="1"/>
        <sz val="9.0"/>
      </rPr>
      <t>) + 4 slots. Later we can increase this number using "Hard Mode."</t>
    </r>
  </si>
  <si>
    <t>All of the above is invisible to the player. Display all of this when completed in its intended UI.</t>
  </si>
  <si>
    <r>
      <rPr>
        <rFont val="Arial"/>
        <color theme="1"/>
        <sz val="9.0"/>
      </rPr>
      <t xml:space="preserve">Due to [Remove Slice] above, there may now be neighbors. Complete </t>
    </r>
    <r>
      <rPr>
        <rFont val="Arial"/>
        <b/>
        <i/>
        <color theme="1"/>
        <sz val="9.0"/>
      </rPr>
      <t>Neighbors Check</t>
    </r>
    <r>
      <rPr>
        <rFont val="Arial"/>
        <color theme="1"/>
        <sz val="9.0"/>
      </rPr>
      <t xml:space="preserve"> just as if a monster was added, resolving variables as necessary.</t>
    </r>
  </si>
  <si>
    <t>[Resolve Combat]</t>
  </si>
  <si>
    <r>
      <rPr>
        <rFont val="Arial"/>
        <color theme="1"/>
        <sz val="9.0"/>
      </rPr>
      <t xml:space="preserve">Handles all ATK, BLK, and HP change based on if the enemy was </t>
    </r>
    <r>
      <rPr>
        <rFont val="Arial"/>
        <b/>
        <i/>
        <color theme="1"/>
        <sz val="9.0"/>
      </rPr>
      <t>Defeated</t>
    </r>
    <r>
      <rPr>
        <rFont val="Arial"/>
        <color theme="1"/>
        <sz val="9.0"/>
      </rPr>
      <t xml:space="preserve"> or killed using items. Click to view how.</t>
    </r>
  </si>
  <si>
    <t>"Begin Dungeon"
Button</t>
  </si>
  <si>
    <t>After complete, button appears to click and "Begin Dungeon"</t>
  </si>
  <si>
    <t>[Remove Slices]</t>
  </si>
  <si>
    <t>Removes slices and updates variables accordingly. Click to view how.</t>
  </si>
  <si>
    <t>This will immediately update...</t>
  </si>
  <si>
    <r>
      <rPr>
        <rFont val="Arial"/>
        <color theme="1"/>
      </rPr>
      <t xml:space="preserve">Set to </t>
    </r>
    <r>
      <rPr>
        <rFont val="Arial"/>
        <b/>
        <color theme="1"/>
      </rPr>
      <t>6</t>
    </r>
  </si>
  <si>
    <t>Medallion, Bloody Gauntlets</t>
  </si>
  <si>
    <r>
      <rPr>
        <rFont val="Arial"/>
        <color theme="1"/>
      </rPr>
      <t>Set to (</t>
    </r>
    <r>
      <rPr>
        <rFont val="Arial"/>
        <b/>
        <color theme="1"/>
      </rPr>
      <t>Starter #</t>
    </r>
    <r>
      <rPr>
        <rFont val="Arial"/>
        <color theme="1"/>
      </rPr>
      <t>)</t>
    </r>
  </si>
  <si>
    <t>(# Mobs)</t>
  </si>
  <si>
    <r>
      <rPr>
        <rFont val="Arial"/>
        <color theme="1"/>
      </rPr>
      <t>Set to (</t>
    </r>
    <r>
      <rPr>
        <rFont val="Arial"/>
        <b/>
        <color theme="1"/>
      </rPr>
      <t>Starter #</t>
    </r>
    <r>
      <rPr>
        <rFont val="Arial"/>
        <color theme="1"/>
      </rPr>
      <t>)</t>
    </r>
  </si>
  <si>
    <r>
      <rPr>
        <rFont val="Arial"/>
        <color theme="1"/>
      </rPr>
      <t xml:space="preserve">Set to </t>
    </r>
    <r>
      <rPr>
        <rFont val="Arial"/>
        <b/>
        <color theme="1"/>
      </rPr>
      <t>3</t>
    </r>
  </si>
  <si>
    <r>
      <rPr>
        <rFont val="Arial"/>
        <color theme="1"/>
      </rPr>
      <t xml:space="preserve">Set to </t>
    </r>
    <r>
      <rPr>
        <rFont val="Arial"/>
        <b/>
        <color theme="1"/>
      </rPr>
      <t>0</t>
    </r>
  </si>
  <si>
    <t>Add Monster</t>
  </si>
  <si>
    <t>Increment by 1</t>
  </si>
  <si>
    <t>If this Monster is in the wheel AND has at least 1 neighbor...</t>
  </si>
  <si>
    <t>...this will immediately be updated...</t>
  </si>
  <si>
    <t>...based on this interaction...</t>
  </si>
  <si>
    <t>All Neighbor's HP</t>
  </si>
  <si>
    <r>
      <rPr>
        <rFont val="Arial"/>
        <color theme="1"/>
      </rPr>
      <t>Set each neighbor's HP to its (</t>
    </r>
    <r>
      <rPr>
        <rFont val="Arial"/>
        <b/>
        <i/>
        <color theme="1"/>
      </rPr>
      <t>Max HP</t>
    </r>
    <r>
      <rPr>
        <rFont val="Arial"/>
        <color theme="1"/>
      </rPr>
      <t xml:space="preserve"> + 1)</t>
    </r>
  </si>
  <si>
    <t>See Note</t>
  </si>
  <si>
    <t>All Neighbor's ATK</t>
  </si>
  <si>
    <r>
      <rPr>
        <rFont val="Arial"/>
        <color theme="1"/>
      </rPr>
      <t>Set each neighbor's ATK to its (</t>
    </r>
    <r>
      <rPr>
        <rFont val="Arial"/>
        <b/>
        <i/>
        <color theme="1"/>
      </rPr>
      <t>Base ATK</t>
    </r>
    <r>
      <rPr>
        <rFont val="Arial"/>
        <color theme="1"/>
      </rPr>
      <t xml:space="preserve"> + 1)</t>
    </r>
  </si>
  <si>
    <t>Spider Queen (HP)</t>
  </si>
  <si>
    <t>[Neighbors' lowest HP]</t>
  </si>
  <si>
    <t>Wraith (ATK)</t>
  </si>
  <si>
    <t>Special Notes</t>
  </si>
  <si>
    <t>Check or Update these values...</t>
  </si>
  <si>
    <t>...and perform this step...</t>
  </si>
  <si>
    <t>...which will effect variables on these things...</t>
  </si>
  <si>
    <t>Set to enemy HP</t>
  </si>
  <si>
    <r>
      <rPr>
        <rFont val="Arial"/>
        <color theme="1"/>
      </rPr>
      <t xml:space="preserve">Set to </t>
    </r>
    <r>
      <rPr>
        <rFont val="Arial"/>
        <b/>
        <i/>
        <color theme="1"/>
      </rPr>
      <t>0</t>
    </r>
  </si>
  <si>
    <t>T/F, check</t>
  </si>
  <si>
    <r>
      <rPr>
        <rFont val="Arial"/>
        <color theme="1"/>
      </rPr>
      <t xml:space="preserve">Set to </t>
    </r>
    <r>
      <rPr>
        <rFont val="Arial"/>
        <b/>
        <i/>
        <color theme="1"/>
      </rPr>
      <t>0</t>
    </r>
  </si>
  <si>
    <t>(Did lose HP? - Initial)</t>
  </si>
  <si>
    <r>
      <rPr>
        <rFont val="Arial"/>
        <color theme="1"/>
      </rPr>
      <t xml:space="preserve">Set to </t>
    </r>
    <r>
      <rPr>
        <rFont val="Arial"/>
        <b/>
        <i/>
        <color theme="1"/>
      </rPr>
      <t>(HP)</t>
    </r>
  </si>
  <si>
    <t>Breastplate**</t>
  </si>
  <si>
    <t>(Neighbors' highest ATK)</t>
  </si>
  <si>
    <r>
      <rPr>
        <rFont val="Arial"/>
        <color theme="1"/>
      </rPr>
      <t xml:space="preserve">Check </t>
    </r>
    <r>
      <rPr>
        <rFont val="Arial"/>
        <b/>
        <i/>
        <color theme="1"/>
      </rPr>
      <t>Neighbors</t>
    </r>
    <r>
      <rPr>
        <rFont val="Arial"/>
        <color theme="1"/>
      </rPr>
      <t>, then set to highest ATK neighbor.</t>
    </r>
  </si>
  <si>
    <t>(Is enemy poisoned?)</t>
  </si>
  <si>
    <r>
      <rPr>
        <rFont val="Arial"/>
        <color theme="1"/>
      </rPr>
      <t xml:space="preserve">Check </t>
    </r>
    <r>
      <rPr>
        <rFont val="Arial"/>
        <b/>
        <i/>
        <color theme="1"/>
      </rPr>
      <t>(Poisoned)</t>
    </r>
    <r>
      <rPr>
        <rFont val="Arial"/>
        <color theme="1"/>
      </rPr>
      <t xml:space="preserve"> state</t>
    </r>
  </si>
  <si>
    <t>All Monsters</t>
  </si>
  <si>
    <r>
      <rPr>
        <rFont val="Arial"/>
        <color theme="1"/>
      </rPr>
      <t xml:space="preserve">Store </t>
    </r>
    <r>
      <rPr>
        <rFont val="Arial"/>
        <b/>
        <i/>
        <color theme="1"/>
      </rPr>
      <t xml:space="preserve">(Last Mob ATK) </t>
    </r>
    <r>
      <rPr>
        <rFont val="Arial"/>
        <color theme="1"/>
      </rPr>
      <t>as enemy ATK</t>
    </r>
  </si>
  <si>
    <t>Grimoire**</t>
  </si>
  <si>
    <t>Step</t>
  </si>
  <si>
    <t>Task</t>
  </si>
  <si>
    <t>Examples</t>
  </si>
  <si>
    <t>(Can Use?)</t>
  </si>
  <si>
    <t>T/F. This value is stored in items and can prevent an item from being used based on conditions.</t>
  </si>
  <si>
    <r>
      <rPr>
        <rFont val="Arial"/>
        <color theme="1"/>
        <sz val="9.0"/>
      </rPr>
      <t xml:space="preserve">Items that can sometimes be </t>
    </r>
    <r>
      <rPr>
        <rFont val="Arial"/>
        <b/>
        <i/>
        <color theme="1"/>
        <sz val="9.0"/>
        <u/>
      </rPr>
      <t>Unusable</t>
    </r>
    <r>
      <rPr>
        <rFont val="Arial"/>
        <color theme="1"/>
        <sz val="9.0"/>
      </rPr>
      <t xml:space="preserve">: </t>
    </r>
    <r>
      <rPr>
        <rFont val="Arial"/>
        <b/>
        <i/>
        <color theme="1"/>
        <sz val="9.0"/>
      </rPr>
      <t>Sledgehammer, Sai, Da Boot, Healing Potion, Crossbow, Poison Flask, Pocketwatch</t>
    </r>
  </si>
  <si>
    <t>On Click</t>
  </si>
  <si>
    <r>
      <rPr>
        <rFont val="Arial"/>
        <color theme="1"/>
        <sz val="9.0"/>
      </rPr>
      <t xml:space="preserve">Player clicks the item, then clicks "Use" (or some other confirmation). If the item is </t>
    </r>
    <r>
      <rPr>
        <rFont val="Arial"/>
        <b/>
        <i/>
        <color theme="1"/>
        <sz val="9.0"/>
      </rPr>
      <t>unusable</t>
    </r>
    <r>
      <rPr>
        <rFont val="Arial"/>
        <color theme="1"/>
        <sz val="9.0"/>
      </rPr>
      <t>, the player sees a messages saying "</t>
    </r>
    <r>
      <rPr>
        <rFont val="Arial"/>
        <color theme="1"/>
        <sz val="9.0"/>
        <u/>
      </rPr>
      <t>Cannot Be Used</t>
    </r>
    <r>
      <rPr>
        <rFont val="Arial"/>
        <color theme="1"/>
        <sz val="9.0"/>
      </rPr>
      <t>"</t>
    </r>
  </si>
  <si>
    <t>3a</t>
  </si>
  <si>
    <t>[Special Function]</t>
  </si>
  <si>
    <r>
      <rPr>
        <sz val="9.0"/>
      </rPr>
      <t xml:space="preserve">If the item has a </t>
    </r>
    <r>
      <rPr>
        <b/>
        <i/>
        <sz val="9.0"/>
      </rPr>
      <t>Special Function</t>
    </r>
    <r>
      <rPr>
        <sz val="9.0"/>
      </rPr>
      <t xml:space="preserve">, perform that event. These are defined under the </t>
    </r>
    <r>
      <rPr>
        <color rgb="FF1155CC"/>
        <sz val="9.0"/>
        <u/>
      </rPr>
      <t>Item Descriptions (Columns O-Q)</t>
    </r>
    <r>
      <rPr>
        <sz val="9.0"/>
      </rPr>
      <t>.</t>
    </r>
  </si>
  <si>
    <r>
      <rPr>
        <rFont val="Arial"/>
        <b val="0"/>
        <i val="0"/>
        <color theme="1"/>
        <sz val="9.0"/>
      </rPr>
      <t xml:space="preserve">Items that have a Special Function: </t>
    </r>
    <r>
      <rPr>
        <rFont val="Arial"/>
        <b/>
        <i/>
        <color theme="1"/>
        <sz val="9.0"/>
      </rPr>
      <t>Bracers, Smoke Bomb, Crossbow, Fangs, Poison Flask</t>
    </r>
  </si>
  <si>
    <t>3b</t>
  </si>
  <si>
    <t>[Defeat Function]</t>
  </si>
  <si>
    <r>
      <rPr>
        <rFont val="Arial"/>
        <color theme="1"/>
        <sz val="9.0"/>
      </rPr>
      <t xml:space="preserve">If the item </t>
    </r>
    <r>
      <rPr>
        <rFont val="Arial"/>
        <b/>
        <i/>
        <color theme="1"/>
        <sz val="9.0"/>
      </rPr>
      <t>Defeats</t>
    </r>
    <r>
      <rPr>
        <rFont val="Arial"/>
        <color theme="1"/>
        <sz val="9.0"/>
      </rPr>
      <t xml:space="preserve"> the enemy on use, skip the rest of these steps and go straight to </t>
    </r>
    <r>
      <rPr>
        <rFont val="Arial"/>
        <b/>
        <color theme="1"/>
        <sz val="9.0"/>
      </rPr>
      <t>[Defeat Enemy]</t>
    </r>
    <r>
      <rPr>
        <rFont val="Arial"/>
        <color theme="1"/>
        <sz val="9.0"/>
      </rPr>
      <t xml:space="preserve"> under </t>
    </r>
    <r>
      <rPr>
        <rFont val="Arial"/>
        <b/>
        <color theme="1"/>
        <sz val="9.0"/>
      </rPr>
      <t>[Resolve Combat]</t>
    </r>
    <r>
      <rPr>
        <rFont val="Arial"/>
        <color theme="1"/>
        <sz val="9.0"/>
      </rPr>
      <t xml:space="preserve"> below.</t>
    </r>
  </si>
  <si>
    <r>
      <rPr>
        <rFont val="Arial"/>
        <b val="0"/>
        <i val="0"/>
        <color theme="1"/>
        <sz val="9.0"/>
      </rPr>
      <t xml:space="preserve">Items that </t>
    </r>
    <r>
      <rPr>
        <rFont val="Arial"/>
        <b/>
        <i/>
        <color theme="1"/>
        <sz val="9.0"/>
      </rPr>
      <t>Defeat</t>
    </r>
    <r>
      <rPr>
        <rFont val="Arial"/>
        <b val="0"/>
        <i val="0"/>
        <color theme="1"/>
        <sz val="9.0"/>
      </rPr>
      <t xml:space="preserve"> enemy on use:
</t>
    </r>
    <r>
      <rPr>
        <rFont val="Arial"/>
        <b/>
        <i/>
        <color theme="1"/>
        <sz val="9.0"/>
      </rPr>
      <t>Da Boot, Sledgehammer, Fangs*</t>
    </r>
  </si>
  <si>
    <t>[Check Item Values]</t>
  </si>
  <si>
    <r>
      <rPr>
        <rFont val="Arial"/>
        <color theme="1"/>
        <sz val="9.0"/>
      </rPr>
      <t xml:space="preserve">If the </t>
    </r>
    <r>
      <rPr>
        <rFont val="Arial"/>
        <b/>
        <i/>
        <color theme="1"/>
        <sz val="9.0"/>
      </rPr>
      <t>Special Function</t>
    </r>
    <r>
      <rPr>
        <rFont val="Arial"/>
        <color theme="1"/>
        <sz val="9.0"/>
      </rPr>
      <t xml:space="preserve"> has not prompted [</t>
    </r>
    <r>
      <rPr>
        <rFont val="Arial"/>
        <b/>
        <color theme="1"/>
        <sz val="9.0"/>
      </rPr>
      <t>Resolve Combat</t>
    </r>
    <r>
      <rPr>
        <rFont val="Arial"/>
        <color theme="1"/>
        <sz val="9.0"/>
      </rPr>
      <t>], then check the value of the item (ATK, BLK)</t>
    </r>
  </si>
  <si>
    <t>5a</t>
  </si>
  <si>
    <t>[Apply ATK]</t>
  </si>
  <si>
    <t>If ATK, reduce enemy HP by the amount.</t>
  </si>
  <si>
    <r>
      <rPr>
        <rFont val="Arial"/>
        <color theme="1"/>
        <sz val="9.0"/>
      </rPr>
      <t xml:space="preserve">Items that ATK enemies: </t>
    </r>
    <r>
      <rPr>
        <rFont val="Arial"/>
        <b/>
        <i/>
        <color theme="1"/>
        <sz val="9.0"/>
      </rPr>
      <t>Sword, Sai, Dagger, Bracers, Pocketwatch, Grimoire, Knucklers, Bloody Gauntlets, Spiked Flail</t>
    </r>
  </si>
  <si>
    <t>5b</t>
  </si>
  <si>
    <t>[Apply BLK]</t>
  </si>
  <si>
    <t>If BLK, apply BLK to the player by the amount.</t>
  </si>
  <si>
    <r>
      <rPr>
        <rFont val="Arial"/>
        <color theme="1"/>
        <sz val="9.0"/>
      </rPr>
      <t xml:space="preserve">Items that BLK: </t>
    </r>
    <r>
      <rPr>
        <rFont val="Arial"/>
        <b/>
        <i/>
        <color theme="1"/>
        <sz val="9.0"/>
      </rPr>
      <t>Shield, Medallion, Helmet, Breastplate, Bracers</t>
    </r>
  </si>
  <si>
    <r>
      <rPr>
        <rFont val="Arial"/>
        <color theme="1"/>
        <sz val="9.0"/>
      </rPr>
      <t xml:space="preserve">Increment this number, then check if this number is </t>
    </r>
    <r>
      <rPr>
        <rFont val="Arial"/>
        <b/>
        <i/>
        <color theme="1"/>
        <sz val="9.0"/>
      </rPr>
      <t>2 or higher</t>
    </r>
    <r>
      <rPr>
        <rFont val="Arial"/>
        <color theme="1"/>
        <sz val="9.0"/>
      </rPr>
      <t xml:space="preserve">. If </t>
    </r>
    <r>
      <rPr>
        <rFont val="Arial"/>
        <b/>
        <i/>
        <color theme="1"/>
        <sz val="9.0"/>
      </rPr>
      <t>TRUE</t>
    </r>
    <r>
      <rPr>
        <rFont val="Arial"/>
        <color theme="1"/>
        <sz val="9.0"/>
      </rPr>
      <t xml:space="preserve">, set </t>
    </r>
    <r>
      <rPr>
        <rFont val="Arial"/>
        <b/>
        <i/>
        <color theme="1"/>
        <sz val="9.0"/>
      </rPr>
      <t>Two-Headed Serpent ATK to 0</t>
    </r>
    <r>
      <rPr>
        <rFont val="Arial"/>
        <color theme="1"/>
        <sz val="9.0"/>
      </rPr>
      <t>.</t>
    </r>
  </si>
  <si>
    <r>
      <rPr>
        <rFont val="Arial"/>
        <color theme="1"/>
        <sz val="9.0"/>
      </rPr>
      <t xml:space="preserve">Player initiates this flow </t>
    </r>
    <r>
      <rPr>
        <rFont val="Arial"/>
        <b/>
        <color theme="1"/>
        <sz val="9.0"/>
      </rPr>
      <t>[Resolve Combat]</t>
    </r>
    <r>
      <rPr>
        <rFont val="Arial"/>
        <color theme="1"/>
        <sz val="9.0"/>
      </rPr>
      <t xml:space="preserve"> by clicking a button, probably a button saying </t>
    </r>
    <r>
      <rPr>
        <rFont val="Arial"/>
        <b/>
        <color theme="1"/>
        <sz val="9.0"/>
      </rPr>
      <t>"Done"</t>
    </r>
    <r>
      <rPr>
        <rFont val="Arial"/>
        <color theme="1"/>
        <sz val="9.0"/>
      </rPr>
      <t xml:space="preserve"> near the hotbar.</t>
    </r>
  </si>
  <si>
    <t>(Is enemy dead?)</t>
  </si>
  <si>
    <r>
      <rPr>
        <rFont val="Arial"/>
        <color theme="1"/>
        <sz val="9.0"/>
      </rPr>
      <t xml:space="preserve">T/F. Returns </t>
    </r>
    <r>
      <rPr>
        <rFont val="Arial"/>
        <b/>
        <i/>
        <color theme="1"/>
        <sz val="9.0"/>
      </rPr>
      <t>True</t>
    </r>
    <r>
      <rPr>
        <rFont val="Arial"/>
        <color theme="1"/>
        <sz val="9.0"/>
      </rPr>
      <t xml:space="preserve"> if enemy is </t>
    </r>
    <r>
      <rPr>
        <rFont val="Arial"/>
        <b/>
        <i/>
        <color theme="1"/>
        <sz val="9.0"/>
      </rPr>
      <t>Defeated</t>
    </r>
    <r>
      <rPr>
        <rFont val="Arial"/>
        <color theme="1"/>
        <sz val="9.0"/>
      </rPr>
      <t xml:space="preserve"> or has </t>
    </r>
    <r>
      <rPr>
        <rFont val="Arial"/>
        <b/>
        <i/>
        <color theme="1"/>
        <sz val="9.0"/>
      </rPr>
      <t>0 HP</t>
    </r>
    <r>
      <rPr>
        <rFont val="Arial"/>
        <color theme="1"/>
        <sz val="9.0"/>
      </rPr>
      <t xml:space="preserve">.
If enemy is </t>
    </r>
    <r>
      <rPr>
        <rFont val="Arial"/>
        <b/>
        <i/>
        <color theme="1"/>
        <sz val="9.0"/>
      </rPr>
      <t>Dead</t>
    </r>
    <r>
      <rPr>
        <rFont val="Arial"/>
        <color theme="1"/>
        <sz val="9.0"/>
      </rPr>
      <t xml:space="preserve">, skip straight to </t>
    </r>
    <r>
      <rPr>
        <rFont val="Arial"/>
        <b/>
        <color theme="1"/>
        <sz val="9.0"/>
      </rPr>
      <t>[Defeat Enemy]</t>
    </r>
    <r>
      <rPr>
        <rFont val="Arial"/>
        <color theme="1"/>
        <sz val="9.0"/>
      </rPr>
      <t xml:space="preserve"> (#4).</t>
    </r>
  </si>
  <si>
    <t>[Enemy ATK]</t>
  </si>
  <si>
    <r>
      <rPr>
        <rFont val="Arial"/>
        <color theme="1"/>
        <sz val="9.0"/>
      </rPr>
      <t xml:space="preserve">Take enemy </t>
    </r>
    <r>
      <rPr>
        <rFont val="Arial"/>
        <b/>
        <i/>
        <color theme="1"/>
        <sz val="9.0"/>
      </rPr>
      <t>ATK</t>
    </r>
    <r>
      <rPr>
        <rFont val="Arial"/>
        <color theme="1"/>
        <sz val="9.0"/>
      </rPr>
      <t xml:space="preserve">, deduct current </t>
    </r>
    <r>
      <rPr>
        <rFont val="Arial"/>
        <b/>
        <i/>
        <color theme="1"/>
        <sz val="9.0"/>
      </rPr>
      <t>BLK</t>
    </r>
    <r>
      <rPr>
        <rFont val="Arial"/>
        <color theme="1"/>
        <sz val="9.0"/>
      </rPr>
      <t>, and then deduct the result from (</t>
    </r>
    <r>
      <rPr>
        <rFont val="Arial"/>
        <b/>
        <color theme="1"/>
        <sz val="9.0"/>
      </rPr>
      <t>HP</t>
    </r>
    <r>
      <rPr>
        <rFont val="Arial"/>
        <color theme="1"/>
        <sz val="9.0"/>
      </rPr>
      <t xml:space="preserve">).
</t>
    </r>
    <r>
      <rPr>
        <rFont val="Arial"/>
        <b/>
        <color theme="1"/>
        <sz val="9.0"/>
        <u/>
      </rPr>
      <t>Equation:</t>
    </r>
    <r>
      <rPr>
        <rFont val="Arial"/>
        <color theme="1"/>
        <sz val="9.0"/>
      </rPr>
      <t xml:space="preserve"> New HP = [(HP) - ((Enemy ATK) - (BLK))]</t>
    </r>
  </si>
  <si>
    <t>(Is player dying?)</t>
  </si>
  <si>
    <r>
      <rPr>
        <rFont val="Arial"/>
        <color theme="1"/>
        <sz val="9.0"/>
      </rPr>
      <t xml:space="preserve">T/F. Returns </t>
    </r>
    <r>
      <rPr>
        <rFont val="Arial"/>
        <b/>
        <i/>
        <color theme="1"/>
        <sz val="9.0"/>
      </rPr>
      <t xml:space="preserve">True </t>
    </r>
    <r>
      <rPr>
        <rFont val="Arial"/>
        <color theme="1"/>
        <sz val="9.0"/>
      </rPr>
      <t xml:space="preserve">if player ever has </t>
    </r>
    <r>
      <rPr>
        <rFont val="Arial"/>
        <b/>
        <i/>
        <color theme="1"/>
        <sz val="9.0"/>
      </rPr>
      <t>0 HP</t>
    </r>
    <r>
      <rPr>
        <rFont val="Arial"/>
        <color theme="1"/>
        <sz val="9.0"/>
      </rPr>
      <t xml:space="preserve">, at which it performs </t>
    </r>
    <r>
      <rPr>
        <rFont val="Arial"/>
        <b/>
        <color theme="1"/>
        <sz val="9.0"/>
      </rPr>
      <t>(does have healing potion?)</t>
    </r>
    <r>
      <rPr>
        <rFont val="Arial"/>
        <color theme="1"/>
        <sz val="9.0"/>
      </rPr>
      <t>. Click here to resolve this.</t>
    </r>
  </si>
  <si>
    <t>Bracers, Smoke Bomb, Crossbow, Fangs, Poison Flask</t>
  </si>
  <si>
    <t>At this step, check Player HP and update other monsters and items accordingly.</t>
  </si>
  <si>
    <r>
      <rPr>
        <rFont val="Arial"/>
        <color theme="1"/>
        <sz val="9.0"/>
      </rPr>
      <t xml:space="preserve">Updates: </t>
    </r>
    <r>
      <rPr>
        <rFont val="Arial"/>
        <b/>
        <i/>
        <color theme="1"/>
        <sz val="9.0"/>
      </rPr>
      <t>Medallion, Bloody Gauntlets
Dire Wolf</t>
    </r>
  </si>
  <si>
    <t>[Defeat Enemy]</t>
  </si>
  <si>
    <r>
      <rPr>
        <rFont val="Arial"/>
        <color theme="1"/>
        <sz val="9.0"/>
      </rPr>
      <t xml:space="preserve">Whether by </t>
    </r>
    <r>
      <rPr>
        <rFont val="Arial"/>
        <b/>
        <i/>
        <color theme="1"/>
        <sz val="9.0"/>
      </rPr>
      <t>Defeat</t>
    </r>
    <r>
      <rPr>
        <rFont val="Arial"/>
        <color theme="1"/>
        <sz val="9.0"/>
      </rPr>
      <t xml:space="preserve"> function (e.g. </t>
    </r>
    <r>
      <rPr>
        <rFont val="Arial"/>
        <b/>
        <i/>
        <color theme="1"/>
        <sz val="9.0"/>
      </rPr>
      <t>Sledgehammer</t>
    </r>
    <r>
      <rPr>
        <rFont val="Arial"/>
        <color theme="1"/>
        <sz val="9.0"/>
      </rPr>
      <t xml:space="preserve">) or through combat survival, all monsters by this step are </t>
    </r>
    <r>
      <rPr>
        <rFont val="Arial"/>
        <b/>
        <i/>
        <color theme="1"/>
        <sz val="9.0"/>
      </rPr>
      <t>Defeated</t>
    </r>
    <r>
      <rPr>
        <rFont val="Arial"/>
        <color theme="1"/>
        <sz val="9.0"/>
      </rPr>
      <t xml:space="preserve"> and will now go away.</t>
    </r>
  </si>
  <si>
    <r>
      <rPr>
        <rFont val="Arial"/>
        <color theme="1"/>
        <sz val="9.0"/>
      </rPr>
      <t xml:space="preserve">Updates: </t>
    </r>
    <r>
      <rPr>
        <rFont val="Arial"/>
        <b/>
        <i/>
        <color theme="1"/>
        <sz val="9.0"/>
      </rPr>
      <t>Knucklers, Bandit, Bracers, Slime Boss, Berserker</t>
    </r>
  </si>
  <si>
    <t>Remove 1 or more slices. See below on steps to resolve.</t>
  </si>
  <si>
    <t>[Post-Combat Variables]</t>
  </si>
  <si>
    <r>
      <rPr>
        <rFont val="Arial"/>
        <color theme="1"/>
        <sz val="9.0"/>
      </rPr>
      <t xml:space="preserve">Update </t>
    </r>
    <r>
      <rPr>
        <rFont val="Arial"/>
        <b/>
        <i/>
        <color theme="1"/>
        <sz val="9.0"/>
      </rPr>
      <t>(# items)</t>
    </r>
    <r>
      <rPr>
        <rFont val="Arial"/>
        <color theme="1"/>
        <sz val="9.0"/>
      </rPr>
      <t xml:space="preserve"> and </t>
    </r>
    <r>
      <rPr>
        <rFont val="Arial"/>
        <b/>
        <i/>
        <color theme="1"/>
        <sz val="9.0"/>
      </rPr>
      <t>(# mobs)</t>
    </r>
    <r>
      <rPr>
        <rFont val="Arial"/>
        <color theme="1"/>
        <sz val="9.0"/>
      </rPr>
      <t>, which will effect items and monsters.</t>
    </r>
  </si>
  <si>
    <t>1a</t>
  </si>
  <si>
    <t>[Remove This Slice]</t>
  </si>
  <si>
    <t>Remove the active slice.</t>
  </si>
  <si>
    <t>1b</t>
  </si>
  <si>
    <t>[Remove That Slice]</t>
  </si>
  <si>
    <r>
      <rPr>
        <rFont val="Arial"/>
        <color theme="1"/>
        <sz val="9.0"/>
      </rPr>
      <t xml:space="preserve">If </t>
    </r>
    <r>
      <rPr>
        <rFont val="Arial"/>
        <b/>
        <i/>
        <color theme="1"/>
        <sz val="9.0"/>
      </rPr>
      <t>Crossbow</t>
    </r>
    <r>
      <rPr>
        <rFont val="Arial"/>
        <color theme="1"/>
        <sz val="9.0"/>
      </rPr>
      <t xml:space="preserve"> was used, remove the relevant neighboring slice(s) </t>
    </r>
    <r>
      <rPr>
        <rFont val="Arial"/>
        <b/>
        <i/>
        <color theme="1"/>
        <sz val="9.0"/>
      </rPr>
      <t>simultaneously</t>
    </r>
    <r>
      <rPr>
        <rFont val="Arial"/>
        <color theme="1"/>
        <sz val="9.0"/>
      </rPr>
      <t xml:space="preserve"> with the active slice. Do not update any variables yet.</t>
    </r>
  </si>
  <si>
    <r>
      <rPr>
        <rFont val="Arial"/>
        <color theme="1"/>
        <sz val="9.0"/>
      </rPr>
      <t xml:space="preserve">Perform </t>
    </r>
    <r>
      <rPr>
        <rFont val="Arial"/>
        <b/>
        <color theme="1"/>
        <sz val="9.0"/>
      </rPr>
      <t>[Neighbors Check]</t>
    </r>
    <r>
      <rPr>
        <rFont val="Arial"/>
        <color theme="1"/>
        <sz val="9.0"/>
      </rPr>
      <t xml:space="preserve"> from above (B19).</t>
    </r>
  </si>
  <si>
    <t>Kill</t>
  </si>
  <si>
    <t>Defeat</t>
  </si>
  <si>
    <t>ATK Dmg</t>
  </si>
  <si>
    <t>Enemy Attacks</t>
  </si>
  <si>
    <t>Always, no exceptions among monsters</t>
  </si>
  <si>
    <t>Some Items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</si>
</sst>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quot; &quot;m&quot;/&quot;d"/>
  </numFmts>
  <fonts count="34">
    <font>
      <sz val="10.0"/>
      <color rgb="FF000000"/>
      <name val="Arial"/>
      <scheme val="minor"/>
    </font>
    <font>
      <color theme="1"/>
      <name val="Arial"/>
      <scheme val="minor"/>
    </font>
    <font>
      <b/>
      <color theme="1"/>
      <name val="Arial"/>
      <scheme val="minor"/>
    </font>
    <font>
      <b/>
      <sz val="10.0"/>
      <color theme="1"/>
      <name val="Montserrat"/>
    </font>
    <font>
      <sz val="9.0"/>
      <color theme="1"/>
      <name val="Arial"/>
      <scheme val="minor"/>
    </font>
    <font>
      <sz val="8.0"/>
      <color theme="1"/>
      <name val="Arial"/>
      <scheme val="minor"/>
    </font>
    <font>
      <b/>
      <i/>
      <sz val="8.0"/>
      <color theme="1"/>
      <name val="Arial"/>
      <scheme val="minor"/>
    </font>
    <font>
      <sz val="9.0"/>
      <color theme="1"/>
      <name val="Arial"/>
    </font>
    <font>
      <u/>
      <sz val="8.0"/>
      <color theme="1"/>
      <name val="Arial"/>
    </font>
    <font>
      <b/>
      <sz val="8.0"/>
      <color theme="1"/>
      <name val="Arial"/>
      <scheme val="minor"/>
    </font>
    <font>
      <sz val="14.0"/>
      <color theme="1"/>
      <name val="Arial"/>
      <scheme val="minor"/>
    </font>
    <font>
      <b/>
      <u/>
      <sz val="14.0"/>
      <color theme="1"/>
      <name val="Arial"/>
      <scheme val="minor"/>
    </font>
    <font>
      <b/>
      <sz val="16.0"/>
      <color theme="1"/>
      <name val="Arial"/>
      <scheme val="minor"/>
    </font>
    <font>
      <sz val="14.0"/>
      <color theme="1"/>
      <name val="Arial"/>
    </font>
    <font>
      <sz val="10.0"/>
      <color theme="1"/>
      <name val="Arial"/>
      <scheme val="minor"/>
    </font>
    <font>
      <b/>
      <u/>
      <color theme="1"/>
      <name val="Arial"/>
      <scheme val="minor"/>
    </font>
    <font>
      <b/>
      <u/>
      <color theme="1"/>
      <name val="Arial"/>
      <scheme val="minor"/>
    </font>
    <font>
      <b/>
      <u/>
      <color rgb="FF1155CC"/>
    </font>
    <font>
      <b/>
      <u/>
      <color rgb="FF1155CC"/>
    </font>
    <font>
      <b/>
      <u/>
      <color rgb="FF1155CC"/>
    </font>
    <font>
      <b/>
      <u/>
      <color rgb="FF1155CC"/>
    </font>
    <font>
      <b/>
      <u/>
      <color theme="1"/>
      <name val="Arial"/>
      <scheme val="minor"/>
    </font>
    <font>
      <b/>
      <u/>
      <color theme="1"/>
      <name val="Arial"/>
      <scheme val="minor"/>
    </font>
    <font>
      <b/>
      <i/>
      <color theme="1"/>
      <name val="Arial"/>
    </font>
    <font>
      <color theme="1"/>
      <name val="Arial"/>
    </font>
    <font/>
    <font>
      <b/>
      <i/>
      <color theme="1"/>
      <name val="Arial"/>
      <scheme val="minor"/>
    </font>
    <font>
      <b/>
      <u/>
      <color theme="1"/>
      <name val="Arial"/>
      <scheme val="minor"/>
    </font>
    <font>
      <b/>
      <u/>
      <color theme="1"/>
      <name val="Arial"/>
      <scheme val="minor"/>
    </font>
    <font>
      <b/>
      <u/>
      <color theme="1"/>
      <name val="Arial"/>
      <scheme val="minor"/>
    </font>
    <font>
      <b/>
      <color theme="1"/>
      <name val="Arial"/>
    </font>
    <font>
      <u/>
      <sz val="9.0"/>
      <color rgb="FF0000FF"/>
    </font>
    <font>
      <b/>
      <i/>
      <sz val="9.0"/>
      <color theme="1"/>
      <name val="Arial"/>
      <scheme val="minor"/>
    </font>
    <font>
      <b/>
      <u/>
      <color theme="1"/>
      <name val="Arial"/>
      <scheme val="minor"/>
    </font>
  </fonts>
  <fills count="16">
    <fill>
      <patternFill patternType="none"/>
    </fill>
    <fill>
      <patternFill patternType="lightGray"/>
    </fill>
    <fill>
      <patternFill patternType="solid">
        <fgColor rgb="FFFFF2CC"/>
        <bgColor rgb="FFFFF2CC"/>
      </patternFill>
    </fill>
    <fill>
      <patternFill patternType="solid">
        <fgColor rgb="FFD9D2E9"/>
        <bgColor rgb="FFD9D2E9"/>
      </patternFill>
    </fill>
    <fill>
      <patternFill patternType="solid">
        <fgColor rgb="FFD9EAD3"/>
        <bgColor rgb="FFD9EAD3"/>
      </patternFill>
    </fill>
    <fill>
      <patternFill patternType="solid">
        <fgColor rgb="FFEA9999"/>
        <bgColor rgb="FFEA9999"/>
      </patternFill>
    </fill>
    <fill>
      <patternFill patternType="solid">
        <fgColor rgb="FFFFFF00"/>
        <bgColor rgb="FFFFFF00"/>
      </patternFill>
    </fill>
    <fill>
      <patternFill patternType="solid">
        <fgColor rgb="FFD9D9D9"/>
        <bgColor rgb="FFD9D9D9"/>
      </patternFill>
    </fill>
    <fill>
      <patternFill patternType="solid">
        <fgColor rgb="FFF4CCCC"/>
        <bgColor rgb="FFF4CCCC"/>
      </patternFill>
    </fill>
    <fill>
      <patternFill patternType="solid">
        <fgColor rgb="FFFFFFFF"/>
        <bgColor rgb="FFFFFFFF"/>
      </patternFill>
    </fill>
    <fill>
      <patternFill patternType="solid">
        <fgColor rgb="FFF9CB9C"/>
        <bgColor rgb="FFF9CB9C"/>
      </patternFill>
    </fill>
    <fill>
      <patternFill patternType="solid">
        <fgColor rgb="FFB6D7A8"/>
        <bgColor rgb="FFB6D7A8"/>
      </patternFill>
    </fill>
    <fill>
      <patternFill patternType="solid">
        <fgColor rgb="FFFFE599"/>
        <bgColor rgb="FFFFE599"/>
      </patternFill>
    </fill>
    <fill>
      <patternFill patternType="solid">
        <fgColor rgb="FFFFA6FF"/>
        <bgColor rgb="FFFFA6FF"/>
      </patternFill>
    </fill>
    <fill>
      <patternFill patternType="solid">
        <fgColor rgb="FFCFE2F3"/>
        <bgColor rgb="FFCFE2F3"/>
      </patternFill>
    </fill>
    <fill>
      <patternFill patternType="solid">
        <fgColor rgb="FFB4A7D6"/>
        <bgColor rgb="FFB4A7D6"/>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1" fillId="0" fontId="1" numFmtId="0" xfId="0" applyAlignment="1" applyBorder="1" applyFont="1">
      <alignment horizontal="center" readingOrder="0" vertical="center"/>
    </xf>
    <xf borderId="2" fillId="0" fontId="1" numFmtId="0" xfId="0" applyAlignment="1" applyBorder="1" applyFont="1">
      <alignment horizontal="center" readingOrder="0" vertical="center"/>
    </xf>
    <xf borderId="2" fillId="0" fontId="1" numFmtId="0" xfId="0" applyAlignment="1" applyBorder="1" applyFont="1">
      <alignment horizontal="center" readingOrder="0" shrinkToFit="0" vertical="center" wrapText="0"/>
    </xf>
    <xf borderId="2" fillId="0" fontId="2" numFmtId="0" xfId="0" applyAlignment="1" applyBorder="1" applyFont="1">
      <alignment horizontal="center" readingOrder="0" vertical="center"/>
    </xf>
    <xf borderId="2" fillId="2" fontId="1" numFmtId="0" xfId="0" applyAlignment="1" applyBorder="1" applyFill="1" applyFont="1">
      <alignment horizontal="center" readingOrder="0" vertical="center"/>
    </xf>
    <xf borderId="2" fillId="3" fontId="1" numFmtId="0" xfId="0" applyAlignment="1" applyBorder="1" applyFill="1" applyFont="1">
      <alignment horizontal="center" readingOrder="0" vertical="center"/>
    </xf>
    <xf borderId="2" fillId="4" fontId="1" numFmtId="0" xfId="0" applyAlignment="1" applyBorder="1" applyFill="1" applyFont="1">
      <alignment horizontal="center" readingOrder="0" vertical="center"/>
    </xf>
    <xf borderId="3" fillId="4" fontId="1" numFmtId="0" xfId="0" applyAlignment="1" applyBorder="1" applyFont="1">
      <alignment horizontal="center" readingOrder="0" vertical="center"/>
    </xf>
    <xf borderId="0" fillId="4" fontId="1" numFmtId="0" xfId="0" applyAlignment="1" applyFont="1">
      <alignment horizontal="center" readingOrder="0" vertical="center"/>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2" fillId="0" fontId="3" numFmtId="0" xfId="0" applyAlignment="1" applyBorder="1" applyFont="1">
      <alignment horizontal="right" readingOrder="0" shrinkToFit="0" vertical="center" wrapText="1"/>
    </xf>
    <xf borderId="2" fillId="0" fontId="1" numFmtId="0" xfId="0" applyAlignment="1" applyBorder="1" applyFont="1">
      <alignment horizontal="left" readingOrder="0" shrinkToFit="0" vertical="center" wrapText="0"/>
    </xf>
    <xf borderId="2" fillId="0" fontId="2"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2" fillId="2" fontId="4" numFmtId="0" xfId="0" applyAlignment="1" applyBorder="1" applyFont="1">
      <alignment horizontal="center" readingOrder="0" shrinkToFit="0" vertical="center" wrapText="1"/>
    </xf>
    <xf borderId="2" fillId="3" fontId="4" numFmtId="0" xfId="0" applyAlignment="1" applyBorder="1" applyFont="1">
      <alignment horizontal="center" readingOrder="0" shrinkToFit="0" vertical="center" wrapText="1"/>
    </xf>
    <xf borderId="2" fillId="3" fontId="1" numFmtId="0" xfId="0" applyAlignment="1" applyBorder="1" applyFont="1">
      <alignment horizontal="center" readingOrder="0" shrinkToFit="0" vertical="center" wrapText="1"/>
    </xf>
    <xf borderId="2" fillId="4" fontId="4" numFmtId="0" xfId="0" applyAlignment="1" applyBorder="1" applyFont="1">
      <alignment horizontal="center" readingOrder="0" shrinkToFit="0" vertical="center" wrapText="1"/>
    </xf>
    <xf borderId="2" fillId="4" fontId="5" numFmtId="0" xfId="0" applyAlignment="1" applyBorder="1" applyFont="1">
      <alignment horizontal="center" readingOrder="0" shrinkToFit="0" vertical="center" wrapText="1"/>
    </xf>
    <xf borderId="3" fillId="4" fontId="5" numFmtId="0" xfId="0" applyAlignment="1" applyBorder="1" applyFont="1">
      <alignment horizontal="center" readingOrder="0" shrinkToFit="0" vertical="center" wrapText="1"/>
    </xf>
    <xf borderId="0" fillId="4" fontId="5" numFmtId="0" xfId="0" applyAlignment="1" applyFont="1">
      <alignment horizontal="center" readingOrder="0" shrinkToFit="0" vertical="center" wrapText="1"/>
    </xf>
    <xf borderId="2" fillId="5" fontId="4" numFmtId="0" xfId="0" applyAlignment="1" applyBorder="1" applyFill="1" applyFont="1">
      <alignment horizontal="center" readingOrder="0" shrinkToFit="0" vertical="center" wrapText="1"/>
    </xf>
    <xf borderId="2" fillId="4" fontId="5" numFmtId="0" xfId="0" applyAlignment="1" applyBorder="1" applyFont="1">
      <alignment horizontal="left" readingOrder="0" shrinkToFit="0" vertical="center" wrapText="1"/>
    </xf>
    <xf borderId="2" fillId="4" fontId="1" numFmtId="0" xfId="0" applyAlignment="1" applyBorder="1" applyFont="1">
      <alignment horizontal="center" readingOrder="0" shrinkToFit="0" vertical="center" wrapText="1"/>
    </xf>
    <xf borderId="2" fillId="4" fontId="5" numFmtId="0" xfId="0" applyAlignment="1" applyBorder="1" applyFont="1">
      <alignment horizontal="left" readingOrder="0" shrinkToFit="0" wrapText="1"/>
    </xf>
    <xf borderId="3" fillId="4" fontId="6" numFmtId="0" xfId="0" applyAlignment="1" applyBorder="1" applyFont="1">
      <alignment horizontal="left" readingOrder="0" shrinkToFit="0" vertical="top" wrapText="1"/>
    </xf>
    <xf borderId="0" fillId="4" fontId="6" numFmtId="0" xfId="0" applyAlignment="1" applyFont="1">
      <alignment horizontal="left" readingOrder="0" shrinkToFit="0" vertical="top" wrapText="1"/>
    </xf>
    <xf borderId="3" fillId="4" fontId="5" numFmtId="0" xfId="0" applyAlignment="1" applyBorder="1" applyFont="1">
      <alignment horizontal="center" readingOrder="0" shrinkToFit="0" vertical="center" wrapText="1"/>
    </xf>
    <xf borderId="0" fillId="4" fontId="5" numFmtId="0" xfId="0" applyAlignment="1" applyFont="1">
      <alignment horizontal="center" readingOrder="0" shrinkToFit="0" vertical="center" wrapText="1"/>
    </xf>
    <xf borderId="2" fillId="4" fontId="5" numFmtId="0" xfId="0" applyAlignment="1" applyBorder="1" applyFont="1">
      <alignment horizontal="left" readingOrder="0" shrinkToFit="0" vertical="center" wrapText="1"/>
    </xf>
    <xf borderId="2" fillId="3" fontId="4" numFmtId="0" xfId="0" applyAlignment="1" applyBorder="1" applyFont="1">
      <alignment horizontal="center" readingOrder="0" shrinkToFit="0" vertical="center" wrapText="1"/>
    </xf>
    <xf borderId="2" fillId="4" fontId="5" numFmtId="0" xfId="0" applyAlignment="1" applyBorder="1" applyFont="1">
      <alignment horizontal="center" readingOrder="0" shrinkToFit="0" vertical="center" wrapText="1"/>
    </xf>
    <xf borderId="2" fillId="6" fontId="1" numFmtId="0" xfId="0" applyAlignment="1" applyBorder="1" applyFill="1" applyFont="1">
      <alignment horizontal="center" readingOrder="0" shrinkToFit="0" vertical="center" wrapText="1"/>
    </xf>
    <xf borderId="2" fillId="6" fontId="2" numFmtId="0" xfId="0" applyAlignment="1" applyBorder="1" applyFont="1">
      <alignment horizontal="center" readingOrder="0" shrinkToFit="0" vertical="center" wrapText="1"/>
    </xf>
    <xf borderId="2" fillId="6" fontId="4" numFmtId="0" xfId="0" applyAlignment="1" applyBorder="1" applyFont="1">
      <alignment horizontal="center" readingOrder="0" shrinkToFit="0" vertical="center" wrapText="1"/>
    </xf>
    <xf borderId="2" fillId="4" fontId="6" numFmtId="0" xfId="0" applyAlignment="1" applyBorder="1" applyFont="1">
      <alignment horizontal="left" readingOrder="0" shrinkToFit="0" vertical="center" wrapText="1"/>
    </xf>
    <xf borderId="3" fillId="4" fontId="6" numFmtId="0" xfId="0" applyAlignment="1" applyBorder="1" applyFont="1">
      <alignment horizontal="center" readingOrder="0" shrinkToFit="0" vertical="center" wrapText="1"/>
    </xf>
    <xf borderId="2" fillId="4" fontId="5" numFmtId="0" xfId="0" applyAlignment="1" applyBorder="1" applyFont="1">
      <alignment horizontal="center" readingOrder="0" shrinkToFit="0" vertical="center" wrapText="1"/>
    </xf>
    <xf borderId="0" fillId="0" fontId="1" numFmtId="0" xfId="0" applyAlignment="1" applyFont="1">
      <alignment horizontal="center" readingOrder="0" shrinkToFit="0" wrapText="1"/>
    </xf>
    <xf borderId="1" fillId="0" fontId="1" numFmtId="0" xfId="0" applyAlignment="1" applyBorder="1" applyFont="1">
      <alignment horizontal="center" readingOrder="0" shrinkToFit="0" wrapText="1"/>
    </xf>
    <xf borderId="2" fillId="0" fontId="1" numFmtId="0" xfId="0" applyAlignment="1" applyBorder="1" applyFont="1">
      <alignment horizontal="center" readingOrder="0" shrinkToFit="0" vertical="center" wrapText="1"/>
    </xf>
    <xf borderId="2" fillId="0" fontId="3" numFmtId="0" xfId="0" applyAlignment="1" applyBorder="1" applyFont="1">
      <alignment horizontal="right" readingOrder="0" shrinkToFit="0" vertical="center" wrapText="1"/>
    </xf>
    <xf borderId="2" fillId="2" fontId="4" numFmtId="0" xfId="0" applyAlignment="1" applyBorder="1" applyFont="1">
      <alignment horizontal="center" readingOrder="0" shrinkToFit="0" vertical="center" wrapText="1"/>
    </xf>
    <xf borderId="2" fillId="4" fontId="1" numFmtId="0" xfId="0" applyAlignment="1" applyBorder="1" applyFont="1">
      <alignment horizontal="center" readingOrder="0" shrinkToFit="0" vertical="center" wrapText="1"/>
    </xf>
    <xf borderId="2" fillId="2" fontId="4" numFmtId="0" xfId="0" applyAlignment="1" applyBorder="1" applyFont="1">
      <alignment horizontal="left" readingOrder="0" shrinkToFit="0" vertical="center" wrapText="1"/>
    </xf>
    <xf borderId="2" fillId="3" fontId="4" numFmtId="0" xfId="0" applyAlignment="1" applyBorder="1" applyFont="1">
      <alignment horizontal="left" readingOrder="0" shrinkToFit="0" vertical="center" wrapText="1"/>
    </xf>
    <xf borderId="3" fillId="4" fontId="5" numFmtId="0" xfId="0" applyAlignment="1" applyBorder="1" applyFont="1">
      <alignment readingOrder="0" shrinkToFit="0" wrapText="1"/>
    </xf>
    <xf borderId="0" fillId="4" fontId="5" numFmtId="0" xfId="0" applyAlignment="1" applyFont="1">
      <alignment readingOrder="0" shrinkToFit="0" wrapText="1"/>
    </xf>
    <xf borderId="2" fillId="3" fontId="4" numFmtId="0" xfId="0" applyAlignment="1" applyBorder="1" applyFont="1">
      <alignment horizontal="left" readingOrder="0" shrinkToFit="0" vertical="center" wrapText="1"/>
    </xf>
    <xf borderId="3" fillId="4" fontId="5" numFmtId="0" xfId="0" applyAlignment="1" applyBorder="1" applyFont="1">
      <alignment shrinkToFit="0" wrapText="1"/>
    </xf>
    <xf borderId="0" fillId="4" fontId="5" numFmtId="0" xfId="0" applyAlignment="1" applyFont="1">
      <alignment shrinkToFit="0" wrapText="1"/>
    </xf>
    <xf borderId="2" fillId="2" fontId="7" numFmtId="0" xfId="0" applyAlignment="1" applyBorder="1" applyFont="1">
      <alignment horizontal="center" shrinkToFit="0" vertical="center" wrapText="1"/>
    </xf>
    <xf borderId="2" fillId="2" fontId="7" numFmtId="0" xfId="0" applyAlignment="1" applyBorder="1" applyFont="1">
      <alignment shrinkToFit="0" vertical="center" wrapText="1"/>
    </xf>
    <xf borderId="2" fillId="3" fontId="7" numFmtId="0" xfId="0" applyAlignment="1" applyBorder="1" applyFont="1">
      <alignment shrinkToFit="0" vertical="center" wrapText="1"/>
    </xf>
    <xf borderId="2" fillId="4" fontId="8" numFmtId="0" xfId="0" applyAlignment="1" applyBorder="1" applyFont="1">
      <alignment shrinkToFit="0" vertical="bottom" wrapText="1"/>
    </xf>
    <xf borderId="4" fillId="4" fontId="5" numFmtId="0" xfId="0" applyAlignment="1" applyBorder="1" applyFont="1">
      <alignment horizontal="left" readingOrder="0" shrinkToFit="0" wrapText="1"/>
    </xf>
    <xf borderId="5" fillId="4" fontId="1" numFmtId="0" xfId="0" applyAlignment="1" applyBorder="1" applyFont="1">
      <alignment horizontal="center" readingOrder="0" shrinkToFit="0" vertical="center" wrapText="1"/>
    </xf>
    <xf borderId="3" fillId="4" fontId="6" numFmtId="0" xfId="0" applyAlignment="1" applyBorder="1" applyFont="1">
      <alignment readingOrder="0" shrinkToFit="0" vertical="top" wrapText="1"/>
    </xf>
    <xf borderId="2" fillId="4" fontId="5" numFmtId="0" xfId="0" applyAlignment="1" applyBorder="1" applyFont="1">
      <alignment horizontal="left" readingOrder="0" shrinkToFit="0" vertical="top" wrapText="1"/>
    </xf>
    <xf borderId="3" fillId="4" fontId="6" numFmtId="0" xfId="0" applyAlignment="1" applyBorder="1" applyFont="1">
      <alignment readingOrder="0" shrinkToFit="0" wrapText="1"/>
    </xf>
    <xf borderId="0" fillId="4" fontId="6" numFmtId="0" xfId="0" applyAlignment="1" applyFont="1">
      <alignment readingOrder="0" shrinkToFit="0" wrapText="1"/>
    </xf>
    <xf borderId="2" fillId="7" fontId="3" numFmtId="0" xfId="0" applyAlignment="1" applyBorder="1" applyFill="1" applyFont="1">
      <alignment horizontal="right" readingOrder="0" shrinkToFit="0" vertical="center" wrapText="1"/>
    </xf>
    <xf borderId="2" fillId="7" fontId="1" numFmtId="0" xfId="0" applyAlignment="1" applyBorder="1" applyFont="1">
      <alignment horizontal="left" readingOrder="0" shrinkToFit="0" vertical="center" wrapText="0"/>
    </xf>
    <xf borderId="2" fillId="7" fontId="1" numFmtId="0" xfId="0" applyAlignment="1" applyBorder="1" applyFont="1">
      <alignment horizontal="center" readingOrder="0" shrinkToFit="0" vertical="center" wrapText="1"/>
    </xf>
    <xf borderId="2" fillId="7" fontId="4" numFmtId="0" xfId="0" applyAlignment="1" applyBorder="1" applyFont="1">
      <alignment horizontal="center" readingOrder="0" shrinkToFit="0" vertical="center" wrapText="1"/>
    </xf>
    <xf borderId="2" fillId="4" fontId="9" numFmtId="0" xfId="0" applyAlignment="1" applyBorder="1" applyFont="1">
      <alignment readingOrder="0" shrinkToFit="0" wrapText="1"/>
    </xf>
    <xf borderId="2" fillId="4" fontId="5" numFmtId="0" xfId="0" applyAlignment="1" applyBorder="1" applyFont="1">
      <alignment readingOrder="0" shrinkToFit="0" wrapText="1"/>
    </xf>
    <xf borderId="0" fillId="4" fontId="6" numFmtId="0" xfId="0" applyAlignment="1" applyFont="1">
      <alignment horizontal="center" readingOrder="0" shrinkToFit="0" vertical="center" wrapText="1"/>
    </xf>
    <xf borderId="2" fillId="6" fontId="3" numFmtId="0" xfId="0" applyAlignment="1" applyBorder="1" applyFont="1">
      <alignment horizontal="right" readingOrder="0" shrinkToFit="0" vertical="center" wrapText="1"/>
    </xf>
    <xf borderId="2" fillId="0" fontId="1" numFmtId="0" xfId="0" applyAlignment="1" applyBorder="1" applyFont="1">
      <alignment horizontal="center" shrinkToFit="0" vertical="center" wrapText="1"/>
    </xf>
    <xf borderId="2" fillId="2" fontId="4" numFmtId="0" xfId="0" applyAlignment="1" applyBorder="1" applyFont="1">
      <alignment horizontal="center" shrinkToFit="0" vertical="center" wrapText="1"/>
    </xf>
    <xf borderId="2" fillId="2" fontId="4" numFmtId="0" xfId="0" applyAlignment="1" applyBorder="1" applyFont="1">
      <alignment horizontal="left" shrinkToFit="0" vertical="center" wrapText="1"/>
    </xf>
    <xf borderId="2" fillId="3" fontId="4" numFmtId="0" xfId="0" applyAlignment="1" applyBorder="1" applyFont="1">
      <alignment horizontal="center" shrinkToFit="0" vertical="center" wrapText="1"/>
    </xf>
    <xf borderId="2" fillId="3" fontId="4" numFmtId="0" xfId="0" applyAlignment="1" applyBorder="1" applyFont="1">
      <alignment horizontal="left" shrinkToFit="0" vertical="center" wrapText="1"/>
    </xf>
    <xf borderId="2" fillId="4" fontId="1" numFmtId="0" xfId="0" applyAlignment="1" applyBorder="1" applyFont="1">
      <alignment horizontal="center" shrinkToFit="0" vertical="center" wrapText="1"/>
    </xf>
    <xf borderId="2" fillId="4" fontId="5" numFmtId="0" xfId="0" applyAlignment="1" applyBorder="1" applyFont="1">
      <alignment shrinkToFit="0" wrapText="1"/>
    </xf>
    <xf borderId="0" fillId="4" fontId="5" numFmtId="164" xfId="0" applyAlignment="1" applyFont="1" applyNumberFormat="1">
      <alignment horizontal="center" readingOrder="0" shrinkToFit="0" vertical="center" wrapText="1"/>
    </xf>
    <xf borderId="0" fillId="4" fontId="5" numFmtId="164" xfId="0" applyAlignment="1" applyFont="1" applyNumberFormat="1">
      <alignment horizontal="center" shrinkToFit="0" vertical="center" wrapText="1"/>
    </xf>
    <xf borderId="0" fillId="4" fontId="5" numFmtId="0" xfId="0" applyAlignment="1" applyFont="1">
      <alignment horizontal="center" shrinkToFit="0" vertical="center" wrapText="1"/>
    </xf>
    <xf borderId="4" fillId="4" fontId="5" numFmtId="0" xfId="0" applyAlignment="1" applyBorder="1" applyFont="1">
      <alignment horizontal="left" readingOrder="0" shrinkToFit="0" vertical="center" wrapText="1"/>
    </xf>
    <xf borderId="5" fillId="4" fontId="5" numFmtId="0" xfId="0" applyAlignment="1" applyBorder="1" applyFont="1">
      <alignment horizontal="left" readingOrder="0" shrinkToFit="0" vertical="center" wrapText="1"/>
    </xf>
    <xf borderId="0" fillId="4" fontId="5" numFmtId="0" xfId="0" applyAlignment="1" applyFont="1">
      <alignment readingOrder="0" shrinkToFit="0" wrapText="1"/>
    </xf>
    <xf borderId="0" fillId="4" fontId="5" numFmtId="0" xfId="0" applyAlignment="1" applyFont="1">
      <alignment horizontal="center" readingOrder="0" shrinkToFit="0" vertical="center" wrapText="1"/>
    </xf>
    <xf borderId="0" fillId="4" fontId="5" numFmtId="0" xfId="0" applyAlignment="1" applyFont="1">
      <alignment readingOrder="0" shrinkToFit="0" vertical="center" wrapText="1"/>
    </xf>
    <xf borderId="2" fillId="2" fontId="4" numFmtId="0" xfId="0" applyAlignment="1" applyBorder="1" applyFont="1">
      <alignment horizontal="left" readingOrder="0" shrinkToFit="0" vertical="center" wrapText="1"/>
    </xf>
    <xf borderId="0" fillId="0" fontId="1" numFmtId="0" xfId="0" applyAlignment="1" applyFont="1">
      <alignment horizontal="center" readingOrder="0" shrinkToFit="0" vertical="center" wrapText="1"/>
    </xf>
    <xf borderId="0" fillId="0" fontId="3" numFmtId="0" xfId="0" applyAlignment="1" applyFont="1">
      <alignment horizontal="right" readingOrder="0" shrinkToFit="0" vertical="center" wrapText="1"/>
    </xf>
    <xf borderId="0" fillId="2" fontId="4" numFmtId="0" xfId="0" applyAlignment="1" applyFont="1">
      <alignment horizontal="center" readingOrder="0" shrinkToFit="0" vertical="center" wrapText="1"/>
    </xf>
    <xf borderId="0" fillId="0" fontId="1" numFmtId="0" xfId="0" applyAlignment="1" applyFont="1">
      <alignment horizontal="left" readingOrder="0" shrinkToFit="0" vertical="center" wrapText="0"/>
    </xf>
    <xf borderId="0" fillId="3" fontId="4" numFmtId="0" xfId="0" applyAlignment="1" applyFont="1">
      <alignment horizontal="center" readingOrder="0" shrinkToFit="0" vertical="center" wrapText="1"/>
    </xf>
    <xf borderId="0" fillId="3" fontId="4" numFmtId="0" xfId="0" applyAlignment="1" applyFont="1">
      <alignment horizontal="left" readingOrder="0" shrinkToFit="0" vertical="center" wrapText="1"/>
    </xf>
    <xf borderId="0" fillId="4" fontId="5" numFmtId="0" xfId="0" applyAlignment="1" applyFont="1">
      <alignment horizontal="left" readingOrder="0" shrinkToFit="0" vertical="top" wrapText="1"/>
    </xf>
    <xf borderId="0" fillId="0" fontId="10" numFmtId="0" xfId="0" applyAlignment="1" applyFont="1">
      <alignment readingOrder="0"/>
    </xf>
    <xf borderId="0" fillId="0" fontId="11" numFmtId="0" xfId="0" applyAlignment="1" applyFont="1">
      <alignment horizontal="center" readingOrder="0" vertical="center"/>
    </xf>
    <xf borderId="6" fillId="0" fontId="12" numFmtId="0" xfId="0" applyAlignment="1" applyBorder="1" applyFont="1">
      <alignment horizontal="center" readingOrder="0" vertical="center"/>
    </xf>
    <xf borderId="0" fillId="8" fontId="10" numFmtId="0" xfId="0" applyAlignment="1" applyFill="1" applyFont="1">
      <alignment horizontal="center" readingOrder="0" vertical="center"/>
    </xf>
    <xf borderId="6" fillId="8" fontId="10" numFmtId="0" xfId="0" applyAlignment="1" applyBorder="1" applyFont="1">
      <alignment horizontal="center" vertical="center"/>
    </xf>
    <xf borderId="0" fillId="4" fontId="13" numFmtId="0" xfId="0" applyAlignment="1" applyFont="1">
      <alignment horizontal="center" readingOrder="0"/>
    </xf>
    <xf borderId="0" fillId="4" fontId="10" numFmtId="0" xfId="0" applyAlignment="1" applyFont="1">
      <alignment horizontal="center" readingOrder="0" vertical="center"/>
    </xf>
    <xf borderId="6" fillId="4" fontId="10" numFmtId="0" xfId="0" applyAlignment="1" applyBorder="1" applyFont="1">
      <alignment horizontal="center" vertical="center"/>
    </xf>
    <xf borderId="0" fillId="9" fontId="13" numFmtId="0" xfId="0" applyAlignment="1" applyFill="1" applyFont="1">
      <alignment horizontal="center" readingOrder="0"/>
    </xf>
    <xf borderId="0" fillId="9" fontId="10" numFmtId="0" xfId="0" applyAlignment="1" applyFont="1">
      <alignment horizontal="center" readingOrder="0" vertical="center"/>
    </xf>
    <xf borderId="6" fillId="9" fontId="10" numFmtId="0" xfId="0" applyAlignment="1" applyBorder="1" applyFont="1">
      <alignment horizontal="center" vertical="center"/>
    </xf>
    <xf borderId="0" fillId="9" fontId="1" numFmtId="0" xfId="0" applyFont="1"/>
    <xf borderId="0" fillId="0" fontId="1" numFmtId="0" xfId="0" applyAlignment="1" applyFont="1">
      <alignment horizontal="center" vertical="center"/>
    </xf>
    <xf borderId="0" fillId="4" fontId="14" numFmtId="164" xfId="0" applyAlignment="1" applyFont="1" applyNumberFormat="1">
      <alignment horizontal="center" readingOrder="0" shrinkToFit="0" vertical="center" wrapText="1"/>
    </xf>
    <xf borderId="0" fillId="4" fontId="14" numFmtId="0" xfId="0" applyAlignment="1" applyFont="1">
      <alignment horizontal="center" readingOrder="0" shrinkToFit="0" vertical="center" wrapText="1"/>
    </xf>
    <xf borderId="0" fillId="4" fontId="6" numFmtId="164" xfId="0" applyAlignment="1" applyFont="1" applyNumberFormat="1">
      <alignment horizontal="left" readingOrder="0" shrinkToFit="0" vertical="top" wrapText="1"/>
    </xf>
    <xf borderId="2" fillId="9" fontId="3" numFmtId="0" xfId="0" applyAlignment="1" applyBorder="1" applyFont="1">
      <alignment horizontal="right" readingOrder="0" shrinkToFit="0" vertical="center" wrapText="1"/>
    </xf>
    <xf borderId="2" fillId="9" fontId="3" numFmtId="0" xfId="0" applyAlignment="1" applyBorder="1" applyFont="1">
      <alignment horizontal="right" readingOrder="0" shrinkToFit="0" vertical="center" wrapText="1"/>
    </xf>
    <xf borderId="6" fillId="0" fontId="15" numFmtId="0" xfId="0" applyAlignment="1" applyBorder="1" applyFont="1">
      <alignment horizontal="center" readingOrder="0" vertical="center"/>
    </xf>
    <xf borderId="6" fillId="0" fontId="1" numFmtId="0" xfId="0" applyAlignment="1" applyBorder="1" applyFont="1">
      <alignment horizontal="left" readingOrder="0" shrinkToFit="0" wrapText="1"/>
    </xf>
    <xf borderId="0" fillId="0" fontId="16" numFmtId="0" xfId="0" applyFont="1"/>
    <xf borderId="0" fillId="10" fontId="2" numFmtId="0" xfId="0" applyAlignment="1" applyFill="1" applyFont="1">
      <alignment horizontal="center" readingOrder="0" shrinkToFit="0" vertical="center" wrapText="1"/>
    </xf>
    <xf borderId="0" fillId="0" fontId="1" numFmtId="0" xfId="0" applyAlignment="1" applyFont="1">
      <alignment horizontal="left" readingOrder="0" shrinkToFit="0" wrapText="1"/>
    </xf>
    <xf borderId="0" fillId="0" fontId="1" numFmtId="0" xfId="0" applyAlignment="1" applyFont="1">
      <alignment horizontal="left" readingOrder="0" shrinkToFit="0" wrapText="0"/>
    </xf>
    <xf borderId="0" fillId="11" fontId="2" numFmtId="0" xfId="0" applyAlignment="1" applyFill="1" applyFont="1">
      <alignment horizontal="center" readingOrder="0" shrinkToFit="0" vertical="center" wrapText="1"/>
    </xf>
    <xf borderId="0" fillId="5" fontId="2" numFmtId="0" xfId="0" applyAlignment="1" applyFont="1">
      <alignment horizontal="center" readingOrder="0" shrinkToFit="0" vertical="center" wrapText="1"/>
    </xf>
    <xf borderId="0" fillId="12" fontId="2" numFmtId="0" xfId="0" applyAlignment="1" applyFill="1" applyFont="1">
      <alignment horizontal="center" readingOrder="0" shrinkToFit="0" vertical="center" wrapText="1"/>
    </xf>
    <xf borderId="0" fillId="13" fontId="2" numFmtId="0" xfId="0" applyAlignment="1" applyFill="1" applyFont="1">
      <alignment horizontal="center" readingOrder="0" shrinkToFit="0" vertical="center" wrapText="1"/>
    </xf>
    <xf borderId="6" fillId="0" fontId="2" numFmtId="0" xfId="0" applyAlignment="1" applyBorder="1" applyFont="1">
      <alignment horizontal="center" readingOrder="0" vertical="center"/>
    </xf>
    <xf borderId="6" fillId="0" fontId="1" numFmtId="0" xfId="0" applyAlignment="1" applyBorder="1" applyFont="1">
      <alignment readingOrder="0" shrinkToFit="0" wrapText="1"/>
    </xf>
    <xf borderId="0" fillId="0" fontId="4" numFmtId="0" xfId="0" applyAlignment="1" applyFont="1">
      <alignment horizontal="left" readingOrder="0" shrinkToFit="0" vertical="top" wrapText="1"/>
    </xf>
    <xf borderId="0" fillId="0" fontId="1" numFmtId="0" xfId="0" applyAlignment="1" applyFont="1">
      <alignment shrinkToFit="0" wrapText="0"/>
    </xf>
    <xf borderId="6" fillId="10" fontId="2" numFmtId="0" xfId="0" applyAlignment="1" applyBorder="1" applyFont="1">
      <alignment horizontal="center" readingOrder="0" vertical="center"/>
    </xf>
    <xf borderId="0" fillId="13" fontId="17" numFmtId="0" xfId="0" applyAlignment="1" applyFont="1">
      <alignment horizontal="center" readingOrder="0" shrinkToFit="0" vertical="center" wrapText="1"/>
    </xf>
    <xf borderId="6" fillId="11" fontId="2" numFmtId="0" xfId="0" applyAlignment="1" applyBorder="1" applyFont="1">
      <alignment horizontal="center" readingOrder="0" vertical="center"/>
    </xf>
    <xf borderId="0" fillId="0" fontId="1" numFmtId="0" xfId="0" applyAlignment="1" applyFont="1">
      <alignment readingOrder="0"/>
    </xf>
    <xf borderId="0" fillId="0" fontId="1" numFmtId="0" xfId="0" applyAlignment="1" applyFont="1">
      <alignment readingOrder="0" shrinkToFit="0" wrapText="0"/>
    </xf>
    <xf borderId="6" fillId="13" fontId="2" numFmtId="0" xfId="0" applyAlignment="1" applyBorder="1" applyFont="1">
      <alignment horizontal="center" readingOrder="0" vertical="center"/>
    </xf>
    <xf borderId="0" fillId="0" fontId="1" numFmtId="0" xfId="0" applyAlignment="1" applyFont="1">
      <alignment readingOrder="0" shrinkToFit="0" vertical="top" wrapText="0"/>
    </xf>
    <xf borderId="0" fillId="5" fontId="18" numFmtId="0" xfId="0" applyAlignment="1" applyFont="1">
      <alignment horizontal="center" readingOrder="0" shrinkToFit="0" vertical="center" wrapText="1"/>
    </xf>
    <xf borderId="0" fillId="12" fontId="19" numFmtId="0" xfId="0" applyAlignment="1" applyFont="1">
      <alignment horizontal="center" readingOrder="0" shrinkToFit="0" vertical="center" wrapText="1"/>
    </xf>
    <xf borderId="0" fillId="10" fontId="1" numFmtId="0" xfId="0" applyAlignment="1" applyFont="1">
      <alignment horizontal="center" readingOrder="0" shrinkToFit="0" vertical="center" wrapText="1"/>
    </xf>
    <xf borderId="0" fillId="0" fontId="1" numFmtId="0" xfId="0" applyAlignment="1" applyFont="1">
      <alignment shrinkToFit="0" wrapText="1"/>
    </xf>
    <xf borderId="0" fillId="10" fontId="20" numFmtId="0" xfId="0" applyAlignment="1" applyFont="1">
      <alignment horizontal="center" readingOrder="0" shrinkToFit="0" vertical="center" wrapText="1"/>
    </xf>
    <xf borderId="0" fillId="0" fontId="1" numFmtId="0" xfId="0" applyAlignment="1" applyFont="1">
      <alignment readingOrder="0" shrinkToFit="0" wrapText="1"/>
    </xf>
    <xf borderId="0" fillId="11"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4" numFmtId="0" xfId="0" applyAlignment="1" applyFont="1">
      <alignment horizontal="left" shrinkToFit="0" vertical="top" wrapText="1"/>
    </xf>
    <xf borderId="0" fillId="10" fontId="21" numFmtId="0" xfId="0" applyAlignment="1" applyFont="1">
      <alignment horizontal="center" readingOrder="0" shrinkToFit="0" vertical="center" wrapText="1"/>
    </xf>
    <xf borderId="6" fillId="10" fontId="22" numFmtId="0" xfId="0" applyAlignment="1" applyBorder="1" applyFont="1">
      <alignment horizontal="center" readingOrder="0" shrinkToFit="0" vertical="center" wrapText="1"/>
    </xf>
    <xf borderId="6" fillId="10" fontId="1" numFmtId="0" xfId="0" applyAlignment="1" applyBorder="1" applyFont="1">
      <alignment horizontal="left" readingOrder="0" shrinkToFit="0" wrapText="1"/>
    </xf>
    <xf borderId="0" fillId="0" fontId="2" numFmtId="0" xfId="0" applyAlignment="1" applyFont="1">
      <alignment horizontal="right" readingOrder="0" vertical="center"/>
    </xf>
    <xf borderId="7" fillId="0" fontId="2" numFmtId="0" xfId="0" applyAlignment="1" applyBorder="1" applyFont="1">
      <alignment horizontal="center" readingOrder="0" vertical="center"/>
    </xf>
    <xf borderId="7" fillId="0" fontId="1" numFmtId="0" xfId="0" applyAlignment="1" applyBorder="1" applyFont="1">
      <alignment horizontal="left" readingOrder="0" shrinkToFit="0" vertical="center" wrapText="1"/>
    </xf>
    <xf borderId="3" fillId="14" fontId="23" numFmtId="0" xfId="0" applyAlignment="1" applyBorder="1" applyFill="1" applyFont="1">
      <alignment readingOrder="0"/>
    </xf>
    <xf borderId="0" fillId="0" fontId="24" numFmtId="0" xfId="0" applyAlignment="1" applyFont="1">
      <alignment vertical="bottom"/>
    </xf>
    <xf borderId="8" fillId="0" fontId="25" numFmtId="0" xfId="0" applyBorder="1" applyFont="1"/>
    <xf borderId="9" fillId="8" fontId="23" numFmtId="0" xfId="0" applyAlignment="1" applyBorder="1" applyFont="1">
      <alignment readingOrder="0"/>
    </xf>
    <xf borderId="7" fillId="0" fontId="1" numFmtId="0" xfId="0" applyAlignment="1" applyBorder="1" applyFont="1">
      <alignment horizontal="left" readingOrder="0" vertical="center"/>
    </xf>
    <xf borderId="6" fillId="14" fontId="26" numFmtId="0" xfId="0" applyAlignment="1" applyBorder="1" applyFont="1">
      <alignment horizontal="left" readingOrder="0" vertical="center"/>
    </xf>
    <xf borderId="6" fillId="8" fontId="26" numFmtId="0" xfId="0" applyAlignment="1" applyBorder="1" applyFont="1">
      <alignment horizontal="left" readingOrder="0" vertical="center"/>
    </xf>
    <xf borderId="10" fillId="0" fontId="25" numFmtId="0" xfId="0" applyBorder="1" applyFont="1"/>
    <xf borderId="6" fillId="0" fontId="1" numFmtId="0" xfId="0" applyAlignment="1" applyBorder="1" applyFont="1">
      <alignment horizontal="left" readingOrder="0" vertical="center"/>
    </xf>
    <xf borderId="6" fillId="14" fontId="2" numFmtId="0" xfId="0" applyAlignment="1" applyBorder="1" applyFont="1">
      <alignment horizontal="left" readingOrder="0" vertical="center"/>
    </xf>
    <xf borderId="0" fillId="5" fontId="27" numFmtId="0" xfId="0" applyAlignment="1" applyFont="1">
      <alignment horizontal="center" readingOrder="0" shrinkToFit="0" vertical="center" wrapText="1"/>
    </xf>
    <xf borderId="6" fillId="5" fontId="28" numFmtId="0" xfId="0" applyAlignment="1" applyBorder="1" applyFont="1">
      <alignment horizontal="center" readingOrder="0" shrinkToFit="0" vertical="center" wrapText="1"/>
    </xf>
    <xf borderId="6" fillId="5" fontId="1" numFmtId="0" xfId="0" applyAlignment="1" applyBorder="1" applyFont="1">
      <alignment horizontal="left" readingOrder="0" shrinkToFit="0" wrapText="1"/>
    </xf>
    <xf borderId="0" fillId="9" fontId="29" numFmtId="0" xfId="0" applyAlignment="1" applyFont="1">
      <alignment horizontal="center" readingOrder="0" shrinkToFit="0" vertical="center" wrapText="1"/>
    </xf>
    <xf borderId="6" fillId="9" fontId="2" numFmtId="0" xfId="0" applyAlignment="1" applyBorder="1" applyFont="1">
      <alignment horizontal="center" readingOrder="0" shrinkToFit="0" vertical="center" wrapText="1"/>
    </xf>
    <xf borderId="6" fillId="8" fontId="26" numFmtId="0" xfId="0" applyAlignment="1" applyBorder="1" applyFont="1">
      <alignment horizontal="right" readingOrder="0" vertical="center"/>
    </xf>
    <xf borderId="6" fillId="0" fontId="1" numFmtId="0" xfId="0" applyAlignment="1" applyBorder="1" applyFont="1">
      <alignment horizontal="right" readingOrder="0" shrinkToFit="0" vertical="center" wrapText="1"/>
    </xf>
    <xf borderId="6" fillId="0" fontId="1" numFmtId="0" xfId="0" applyAlignment="1" applyBorder="1" applyFont="1">
      <alignment horizontal="left" readingOrder="0" shrinkToFit="0" vertical="center" wrapText="0"/>
    </xf>
    <xf borderId="0" fillId="0" fontId="1" numFmtId="0" xfId="0" applyAlignment="1" applyFont="1">
      <alignment readingOrder="0" vertical="center"/>
    </xf>
    <xf borderId="6" fillId="13" fontId="1" numFmtId="0" xfId="0" applyAlignment="1" applyBorder="1" applyFont="1">
      <alignment horizontal="left" readingOrder="0" shrinkToFit="0" wrapText="1"/>
    </xf>
    <xf borderId="6" fillId="0" fontId="30" numFmtId="0" xfId="0" applyAlignment="1" applyBorder="1" applyFont="1">
      <alignment horizontal="center" readingOrder="0" vertical="center"/>
    </xf>
    <xf borderId="3" fillId="8" fontId="23" numFmtId="0" xfId="0" applyBorder="1" applyFont="1"/>
    <xf borderId="0" fillId="0" fontId="26" numFmtId="0" xfId="0" applyAlignment="1" applyFont="1">
      <alignment readingOrder="0"/>
    </xf>
    <xf borderId="1" fillId="9" fontId="2" numFmtId="0" xfId="0" applyAlignment="1" applyBorder="1" applyFont="1">
      <alignment horizontal="center" readingOrder="0" shrinkToFit="0" vertical="center" wrapText="1"/>
    </xf>
    <xf borderId="3" fillId="0" fontId="25" numFmtId="0" xfId="0" applyBorder="1" applyFont="1"/>
    <xf borderId="0" fillId="0" fontId="4" numFmtId="0" xfId="0" applyAlignment="1" applyFont="1">
      <alignment readingOrder="0" shrinkToFit="0" vertical="center" wrapText="1"/>
    </xf>
    <xf borderId="0" fillId="0" fontId="4" numFmtId="0" xfId="0" applyAlignment="1" applyFont="1">
      <alignment readingOrder="0" shrinkToFit="0" wrapText="1"/>
    </xf>
    <xf borderId="0" fillId="0" fontId="31" numFmtId="0" xfId="0" applyAlignment="1" applyFont="1">
      <alignment readingOrder="0" shrinkToFit="0" vertical="center" wrapText="1"/>
    </xf>
    <xf borderId="0" fillId="0" fontId="32" numFmtId="0" xfId="0" applyAlignment="1" applyFont="1">
      <alignment readingOrder="0" shrinkToFit="0" wrapText="1"/>
    </xf>
    <xf borderId="0" fillId="0" fontId="4" numFmtId="0" xfId="0" applyAlignment="1" applyFont="1">
      <alignment readingOrder="0" shrinkToFit="0" vertical="center" wrapText="1"/>
    </xf>
    <xf borderId="0" fillId="0" fontId="4" numFmtId="0" xfId="0" applyAlignment="1" applyFont="1">
      <alignment readingOrder="0" shrinkToFit="0" wrapText="1"/>
    </xf>
    <xf borderId="0" fillId="0" fontId="4" numFmtId="0" xfId="0" applyAlignment="1" applyFont="1">
      <alignment readingOrder="0" shrinkToFit="0" wrapText="1"/>
    </xf>
    <xf borderId="0" fillId="15" fontId="1" numFmtId="0" xfId="0" applyAlignment="1" applyFill="1" applyFont="1">
      <alignment horizontal="center" readingOrder="0" vertical="center"/>
    </xf>
    <xf borderId="0" fillId="15" fontId="2" numFmtId="0" xfId="0" applyAlignment="1" applyFont="1">
      <alignment horizontal="center" readingOrder="0" shrinkToFit="0" vertical="center" wrapText="1"/>
    </xf>
    <xf borderId="0" fillId="0" fontId="24" numFmtId="0" xfId="0" applyFont="1"/>
    <xf borderId="0" fillId="0" fontId="33" numFmtId="0" xfId="0" applyAlignment="1" applyFont="1">
      <alignment readingOrder="0"/>
    </xf>
  </cellXfs>
  <cellStyles count="1">
    <cellStyle xfId="0" name="Normal" builtinId="0"/>
  </cellStyles>
  <dxfs count="6">
    <dxf>
      <font/>
      <fill>
        <patternFill patternType="solid">
          <fgColor rgb="FFFFE599"/>
          <bgColor rgb="FFFFE599"/>
        </patternFill>
      </fill>
      <border/>
    </dxf>
    <dxf>
      <font>
        <strike/>
        <color rgb="FF666666"/>
      </font>
      <fill>
        <patternFill patternType="solid">
          <fgColor rgb="FFF3F3F3"/>
          <bgColor rgb="FFF3F3F3"/>
        </patternFill>
      </fill>
      <border/>
    </dxf>
    <dxf>
      <font/>
      <fill>
        <patternFill patternType="solid">
          <fgColor rgb="FFD9D9D9"/>
          <bgColor rgb="FFD9D9D9"/>
        </patternFill>
      </fill>
      <border/>
    </dxf>
    <dxf>
      <font/>
      <fill>
        <patternFill patternType="solid">
          <fgColor rgb="FFD9EAD3"/>
          <bgColor rgb="FFD9EAD3"/>
        </patternFill>
      </fill>
      <border/>
    </dxf>
    <dxf>
      <font>
        <color rgb="FF000000"/>
      </font>
      <fill>
        <patternFill patternType="solid">
          <fgColor rgb="FFFFE1E1"/>
          <bgColor rgb="FFFFE1E1"/>
        </patternFill>
      </fill>
      <border/>
    </dxf>
    <dxf>
      <font>
        <color rgb="FF000000"/>
      </font>
      <fill>
        <patternFill patternType="solid">
          <fgColor rgb="FFCFE2F3"/>
          <bgColor rgb="FFCFE2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2" width="5.0"/>
    <col customWidth="1" min="3" max="3" width="5.25"/>
    <col customWidth="1" min="4" max="4" width="12.25"/>
    <col customWidth="1" min="5" max="5" width="6.13"/>
    <col customWidth="1" min="6" max="6" width="9.13"/>
    <col customWidth="1" min="7" max="8" width="6.13"/>
    <col customWidth="1" min="9" max="10" width="7.38"/>
    <col customWidth="1" min="11" max="11" width="21.0"/>
    <col customWidth="1" min="12" max="12" width="13.13"/>
    <col customWidth="1" min="16" max="16" width="15.88"/>
    <col customWidth="1" min="17" max="17" width="34.63"/>
    <col customWidth="1" min="18" max="19" width="28.88"/>
  </cols>
  <sheetData>
    <row r="1">
      <c r="A1" s="1" t="s">
        <v>0</v>
      </c>
      <c r="B1" s="2" t="s">
        <v>1</v>
      </c>
      <c r="C1" s="3" t="s">
        <v>2</v>
      </c>
      <c r="D1" s="3" t="s">
        <v>3</v>
      </c>
      <c r="E1" s="3" t="s">
        <v>4</v>
      </c>
      <c r="F1" s="4" t="s">
        <v>5</v>
      </c>
      <c r="G1" s="3" t="s">
        <v>6</v>
      </c>
      <c r="H1" s="3" t="s">
        <v>7</v>
      </c>
      <c r="I1" s="5" t="s">
        <v>8</v>
      </c>
      <c r="J1" s="5" t="s">
        <v>9</v>
      </c>
      <c r="K1" s="3" t="s">
        <v>10</v>
      </c>
      <c r="L1" s="6" t="s">
        <v>11</v>
      </c>
      <c r="M1" s="6" t="s">
        <v>12</v>
      </c>
      <c r="N1" s="7" t="s">
        <v>13</v>
      </c>
      <c r="O1" s="7" t="s">
        <v>14</v>
      </c>
      <c r="P1" s="8" t="s">
        <v>15</v>
      </c>
      <c r="Q1" s="8" t="s">
        <v>16</v>
      </c>
      <c r="R1" s="9" t="s">
        <v>17</v>
      </c>
      <c r="S1" s="10"/>
    </row>
    <row r="2">
      <c r="A2" s="11" t="b">
        <v>1</v>
      </c>
      <c r="B2" s="12" t="b">
        <v>0</v>
      </c>
      <c r="C2" s="13" t="s">
        <v>18</v>
      </c>
      <c r="D2" s="14" t="s">
        <v>19</v>
      </c>
      <c r="E2" s="13">
        <v>1.0</v>
      </c>
      <c r="F2" s="15" t="s">
        <v>20</v>
      </c>
      <c r="G2" s="13">
        <v>1.0</v>
      </c>
      <c r="H2" s="13">
        <v>2.0</v>
      </c>
      <c r="I2" s="16">
        <v>5.0</v>
      </c>
      <c r="J2" s="16">
        <v>2.0</v>
      </c>
      <c r="K2" s="17" t="s">
        <v>21</v>
      </c>
      <c r="L2" s="18" t="s">
        <v>21</v>
      </c>
      <c r="M2" s="18"/>
      <c r="N2" s="19" t="s">
        <v>21</v>
      </c>
      <c r="O2" s="20" t="s">
        <v>21</v>
      </c>
      <c r="P2" s="21" t="s">
        <v>21</v>
      </c>
      <c r="Q2" s="22" t="s">
        <v>21</v>
      </c>
      <c r="R2" s="23" t="s">
        <v>21</v>
      </c>
      <c r="S2" s="24"/>
    </row>
    <row r="3">
      <c r="A3" s="11" t="b">
        <v>1</v>
      </c>
      <c r="B3" s="12" t="b">
        <v>0</v>
      </c>
      <c r="C3" s="13" t="s">
        <v>18</v>
      </c>
      <c r="D3" s="14" t="s">
        <v>22</v>
      </c>
      <c r="E3" s="13">
        <v>1.0</v>
      </c>
      <c r="F3" s="15" t="s">
        <v>20</v>
      </c>
      <c r="G3" s="13">
        <v>1.0</v>
      </c>
      <c r="H3" s="13">
        <v>2.0</v>
      </c>
      <c r="I3" s="16">
        <v>3.0</v>
      </c>
      <c r="J3" s="16">
        <v>7.0</v>
      </c>
      <c r="K3" s="17" t="s">
        <v>21</v>
      </c>
      <c r="L3" s="18" t="s">
        <v>21</v>
      </c>
      <c r="M3" s="18"/>
      <c r="N3" s="19" t="s">
        <v>21</v>
      </c>
      <c r="O3" s="20" t="s">
        <v>21</v>
      </c>
      <c r="P3" s="21" t="s">
        <v>21</v>
      </c>
      <c r="Q3" s="22" t="s">
        <v>21</v>
      </c>
      <c r="R3" s="23" t="s">
        <v>21</v>
      </c>
      <c r="S3" s="24"/>
    </row>
    <row r="4">
      <c r="A4" s="11" t="b">
        <v>1</v>
      </c>
      <c r="B4" s="12" t="b">
        <v>0</v>
      </c>
      <c r="C4" s="13" t="s">
        <v>18</v>
      </c>
      <c r="D4" s="14" t="s">
        <v>23</v>
      </c>
      <c r="E4" s="13">
        <v>3.0</v>
      </c>
      <c r="F4" s="15" t="s">
        <v>20</v>
      </c>
      <c r="G4" s="13">
        <v>1.0</v>
      </c>
      <c r="H4" s="13">
        <v>2.0</v>
      </c>
      <c r="I4" s="16">
        <v>3.0</v>
      </c>
      <c r="J4" s="16">
        <v>1.0</v>
      </c>
      <c r="K4" s="25" t="s">
        <v>24</v>
      </c>
      <c r="L4" s="18" t="s">
        <v>21</v>
      </c>
      <c r="M4" s="18" t="s">
        <v>21</v>
      </c>
      <c r="N4" s="19" t="s">
        <v>21</v>
      </c>
      <c r="O4" s="20" t="s">
        <v>21</v>
      </c>
      <c r="P4" s="21" t="s">
        <v>25</v>
      </c>
      <c r="Q4" s="26" t="s">
        <v>26</v>
      </c>
      <c r="R4" s="23" t="s">
        <v>21</v>
      </c>
      <c r="S4" s="24"/>
    </row>
    <row r="5">
      <c r="A5" s="11" t="b">
        <v>1</v>
      </c>
      <c r="B5" s="12" t="b">
        <v>0</v>
      </c>
      <c r="C5" s="13" t="s">
        <v>18</v>
      </c>
      <c r="D5" s="14" t="s">
        <v>27</v>
      </c>
      <c r="E5" s="13">
        <v>3.0</v>
      </c>
      <c r="F5" s="15" t="s">
        <v>20</v>
      </c>
      <c r="G5" s="13">
        <v>1.0</v>
      </c>
      <c r="H5" s="13">
        <v>2.0</v>
      </c>
      <c r="I5" s="16">
        <v>3.0</v>
      </c>
      <c r="J5" s="16" t="s">
        <v>28</v>
      </c>
      <c r="K5" s="17" t="s">
        <v>29</v>
      </c>
      <c r="L5" s="18" t="s">
        <v>30</v>
      </c>
      <c r="M5" s="18" t="s">
        <v>31</v>
      </c>
      <c r="N5" s="19" t="s">
        <v>21</v>
      </c>
      <c r="O5" s="20" t="s">
        <v>21</v>
      </c>
      <c r="P5" s="27" t="s">
        <v>32</v>
      </c>
      <c r="Q5" s="28" t="s">
        <v>33</v>
      </c>
      <c r="R5" s="29" t="s">
        <v>34</v>
      </c>
      <c r="S5" s="30"/>
    </row>
    <row r="6">
      <c r="A6" s="11" t="b">
        <v>1</v>
      </c>
      <c r="B6" s="12" t="b">
        <v>0</v>
      </c>
      <c r="C6" s="13" t="s">
        <v>18</v>
      </c>
      <c r="D6" s="14" t="s">
        <v>35</v>
      </c>
      <c r="E6" s="13">
        <v>3.0</v>
      </c>
      <c r="F6" s="15" t="s">
        <v>20</v>
      </c>
      <c r="G6" s="13">
        <v>1.0</v>
      </c>
      <c r="H6" s="13">
        <v>2.0</v>
      </c>
      <c r="I6" s="16">
        <v>2.0</v>
      </c>
      <c r="J6" s="16">
        <v>3.0</v>
      </c>
      <c r="K6" s="17" t="s">
        <v>36</v>
      </c>
      <c r="L6" s="18" t="s">
        <v>21</v>
      </c>
      <c r="M6" s="18" t="s">
        <v>21</v>
      </c>
      <c r="N6" s="19" t="s">
        <v>21</v>
      </c>
      <c r="O6" s="19" t="s">
        <v>21</v>
      </c>
      <c r="P6" s="21" t="s">
        <v>37</v>
      </c>
      <c r="Q6" s="26" t="s">
        <v>38</v>
      </c>
      <c r="R6" s="31"/>
      <c r="S6" s="32"/>
    </row>
    <row r="7">
      <c r="A7" s="11" t="b">
        <v>1</v>
      </c>
      <c r="B7" s="12" t="b">
        <v>0</v>
      </c>
      <c r="C7" s="13" t="s">
        <v>18</v>
      </c>
      <c r="D7" s="14" t="s">
        <v>39</v>
      </c>
      <c r="E7" s="13">
        <v>4.0</v>
      </c>
      <c r="F7" s="15" t="s">
        <v>40</v>
      </c>
      <c r="G7" s="13">
        <v>1.0</v>
      </c>
      <c r="H7" s="13">
        <v>2.0</v>
      </c>
      <c r="I7" s="16">
        <v>3.0</v>
      </c>
      <c r="J7" s="16">
        <v>1.0</v>
      </c>
      <c r="K7" s="17" t="s">
        <v>41</v>
      </c>
      <c r="L7" s="18" t="s">
        <v>21</v>
      </c>
      <c r="M7" s="18" t="s">
        <v>21</v>
      </c>
      <c r="N7" s="19" t="s">
        <v>42</v>
      </c>
      <c r="O7" s="19" t="s">
        <v>43</v>
      </c>
      <c r="P7" s="21" t="s">
        <v>21</v>
      </c>
      <c r="Q7" s="33" t="s">
        <v>44</v>
      </c>
      <c r="R7" s="23" t="s">
        <v>21</v>
      </c>
      <c r="S7" s="24"/>
    </row>
    <row r="8">
      <c r="A8" s="11" t="b">
        <v>1</v>
      </c>
      <c r="B8" s="12" t="b">
        <v>0</v>
      </c>
      <c r="C8" s="13" t="s">
        <v>18</v>
      </c>
      <c r="D8" s="14" t="s">
        <v>45</v>
      </c>
      <c r="E8" s="13">
        <v>1.0</v>
      </c>
      <c r="F8" s="15" t="s">
        <v>20</v>
      </c>
      <c r="G8" s="13">
        <v>2.0</v>
      </c>
      <c r="H8" s="13">
        <v>2.0</v>
      </c>
      <c r="I8" s="16">
        <v>4.0</v>
      </c>
      <c r="J8" s="16" t="s">
        <v>46</v>
      </c>
      <c r="K8" s="17" t="s">
        <v>47</v>
      </c>
      <c r="L8" s="18" t="s">
        <v>48</v>
      </c>
      <c r="M8" s="18" t="s">
        <v>31</v>
      </c>
      <c r="N8" s="19" t="s">
        <v>21</v>
      </c>
      <c r="O8" s="20" t="s">
        <v>21</v>
      </c>
      <c r="P8" s="21" t="s">
        <v>21</v>
      </c>
      <c r="Q8" s="22" t="s">
        <v>21</v>
      </c>
      <c r="R8" s="23" t="s">
        <v>21</v>
      </c>
      <c r="S8" s="24"/>
    </row>
    <row r="9">
      <c r="A9" s="11" t="b">
        <v>1</v>
      </c>
      <c r="B9" s="12" t="b">
        <v>0</v>
      </c>
      <c r="C9" s="13" t="s">
        <v>18</v>
      </c>
      <c r="D9" s="14" t="s">
        <v>49</v>
      </c>
      <c r="E9" s="13">
        <v>2.0</v>
      </c>
      <c r="F9" s="15" t="s">
        <v>20</v>
      </c>
      <c r="G9" s="13">
        <v>2.0</v>
      </c>
      <c r="H9" s="13">
        <v>1.0</v>
      </c>
      <c r="I9" s="16" t="s">
        <v>50</v>
      </c>
      <c r="J9" s="16" t="s">
        <v>51</v>
      </c>
      <c r="K9" s="17" t="s">
        <v>52</v>
      </c>
      <c r="L9" s="18" t="s">
        <v>53</v>
      </c>
      <c r="M9" s="18" t="s">
        <v>43</v>
      </c>
      <c r="N9" s="19" t="s">
        <v>21</v>
      </c>
      <c r="O9" s="34" t="s">
        <v>21</v>
      </c>
      <c r="P9" s="21" t="s">
        <v>54</v>
      </c>
      <c r="Q9" s="35" t="s">
        <v>55</v>
      </c>
      <c r="R9" s="23" t="s">
        <v>21</v>
      </c>
      <c r="S9" s="24"/>
    </row>
    <row r="10">
      <c r="A10" s="11" t="b">
        <v>1</v>
      </c>
      <c r="B10" s="12" t="b">
        <v>0</v>
      </c>
      <c r="C10" s="13" t="s">
        <v>18</v>
      </c>
      <c r="D10" s="14" t="s">
        <v>56</v>
      </c>
      <c r="E10" s="13">
        <v>2.0</v>
      </c>
      <c r="F10" s="15" t="s">
        <v>20</v>
      </c>
      <c r="G10" s="13">
        <v>2.0</v>
      </c>
      <c r="H10" s="13">
        <v>2.0</v>
      </c>
      <c r="I10" s="16" t="s">
        <v>46</v>
      </c>
      <c r="J10" s="16">
        <v>3.0</v>
      </c>
      <c r="K10" s="17" t="s">
        <v>47</v>
      </c>
      <c r="L10" s="18" t="s">
        <v>48</v>
      </c>
      <c r="M10" s="18" t="s">
        <v>31</v>
      </c>
      <c r="N10" s="19" t="s">
        <v>21</v>
      </c>
      <c r="O10" s="20" t="s">
        <v>21</v>
      </c>
      <c r="P10" s="21" t="s">
        <v>21</v>
      </c>
      <c r="Q10" s="22" t="s">
        <v>21</v>
      </c>
      <c r="R10" s="23" t="s">
        <v>21</v>
      </c>
      <c r="S10" s="24"/>
    </row>
    <row r="11">
      <c r="A11" s="11" t="b">
        <v>1</v>
      </c>
      <c r="B11" s="12" t="b">
        <v>0</v>
      </c>
      <c r="C11" s="13" t="s">
        <v>18</v>
      </c>
      <c r="D11" s="14" t="s">
        <v>57</v>
      </c>
      <c r="E11" s="13">
        <v>2.0</v>
      </c>
      <c r="F11" s="15" t="s">
        <v>40</v>
      </c>
      <c r="G11" s="13">
        <v>2.0</v>
      </c>
      <c r="H11" s="13">
        <v>2.0</v>
      </c>
      <c r="I11" s="16" t="s">
        <v>46</v>
      </c>
      <c r="J11" s="16">
        <v>3.0</v>
      </c>
      <c r="K11" s="17" t="s">
        <v>58</v>
      </c>
      <c r="L11" s="18" t="s">
        <v>59</v>
      </c>
      <c r="M11" s="18" t="s">
        <v>60</v>
      </c>
      <c r="N11" s="19" t="s">
        <v>21</v>
      </c>
      <c r="O11" s="34" t="s">
        <v>21</v>
      </c>
      <c r="P11" s="21" t="s">
        <v>21</v>
      </c>
      <c r="Q11" s="22" t="s">
        <v>21</v>
      </c>
      <c r="R11" s="23" t="s">
        <v>21</v>
      </c>
      <c r="S11" s="24"/>
    </row>
    <row r="12">
      <c r="A12" s="11" t="b">
        <v>0</v>
      </c>
      <c r="B12" s="12" t="b">
        <v>0</v>
      </c>
      <c r="C12" s="13" t="s">
        <v>18</v>
      </c>
      <c r="D12" s="14" t="s">
        <v>61</v>
      </c>
      <c r="E12" s="36">
        <v>2.0</v>
      </c>
      <c r="F12" s="15" t="s">
        <v>40</v>
      </c>
      <c r="G12" s="36">
        <v>2.0</v>
      </c>
      <c r="H12" s="36">
        <v>1.0</v>
      </c>
      <c r="I12" s="37">
        <v>4.0</v>
      </c>
      <c r="J12" s="37" t="s">
        <v>50</v>
      </c>
      <c r="K12" s="38" t="s">
        <v>62</v>
      </c>
      <c r="L12" s="18" t="s">
        <v>63</v>
      </c>
      <c r="M12" s="18" t="s">
        <v>43</v>
      </c>
      <c r="N12" s="19" t="s">
        <v>21</v>
      </c>
      <c r="O12" s="20" t="s">
        <v>21</v>
      </c>
      <c r="P12" s="21" t="s">
        <v>21</v>
      </c>
      <c r="Q12" s="22" t="s">
        <v>21</v>
      </c>
      <c r="R12" s="23" t="s">
        <v>21</v>
      </c>
      <c r="S12" s="24"/>
    </row>
    <row r="13">
      <c r="A13" s="11" t="b">
        <v>1</v>
      </c>
      <c r="B13" s="12" t="b">
        <v>0</v>
      </c>
      <c r="C13" s="13" t="s">
        <v>18</v>
      </c>
      <c r="D13" s="14" t="s">
        <v>64</v>
      </c>
      <c r="E13" s="13">
        <v>3.0</v>
      </c>
      <c r="F13" s="15" t="s">
        <v>40</v>
      </c>
      <c r="G13" s="13">
        <v>2.0</v>
      </c>
      <c r="H13" s="13">
        <v>2.0</v>
      </c>
      <c r="I13" s="16">
        <v>3.0</v>
      </c>
      <c r="J13" s="16">
        <v>3.0</v>
      </c>
      <c r="K13" s="17" t="s">
        <v>65</v>
      </c>
      <c r="L13" s="18" t="s">
        <v>66</v>
      </c>
      <c r="M13" s="18" t="s">
        <v>43</v>
      </c>
      <c r="N13" s="19" t="s">
        <v>67</v>
      </c>
      <c r="O13" s="19" t="s">
        <v>43</v>
      </c>
      <c r="P13" s="21" t="s">
        <v>21</v>
      </c>
      <c r="Q13" s="39" t="s">
        <v>68</v>
      </c>
      <c r="R13" s="23" t="s">
        <v>21</v>
      </c>
      <c r="S13" s="24"/>
    </row>
    <row r="14">
      <c r="A14" s="11" t="b">
        <v>0</v>
      </c>
      <c r="B14" s="12" t="b">
        <v>0</v>
      </c>
      <c r="C14" s="13" t="s">
        <v>18</v>
      </c>
      <c r="D14" s="14" t="s">
        <v>69</v>
      </c>
      <c r="E14" s="13">
        <v>4.0</v>
      </c>
      <c r="F14" s="15" t="s">
        <v>40</v>
      </c>
      <c r="G14" s="13">
        <v>2.0</v>
      </c>
      <c r="H14" s="13">
        <v>1.0</v>
      </c>
      <c r="I14" s="16">
        <v>4.0</v>
      </c>
      <c r="J14" s="16">
        <v>5.0</v>
      </c>
      <c r="K14" s="17" t="s">
        <v>70</v>
      </c>
      <c r="L14" s="18" t="s">
        <v>71</v>
      </c>
      <c r="M14" s="18" t="s">
        <v>72</v>
      </c>
      <c r="N14" s="19" t="s">
        <v>73</v>
      </c>
      <c r="O14" s="19" t="s">
        <v>74</v>
      </c>
      <c r="P14" s="21" t="s">
        <v>75</v>
      </c>
      <c r="Q14" s="26" t="s">
        <v>76</v>
      </c>
      <c r="R14" s="29" t="s">
        <v>77</v>
      </c>
      <c r="S14" s="30"/>
    </row>
    <row r="15">
      <c r="A15" s="11" t="b">
        <v>0</v>
      </c>
      <c r="B15" s="12" t="b">
        <v>0</v>
      </c>
      <c r="C15" s="13" t="s">
        <v>18</v>
      </c>
      <c r="D15" s="14" t="s">
        <v>78</v>
      </c>
      <c r="E15" s="13">
        <v>4.0</v>
      </c>
      <c r="F15" s="15" t="s">
        <v>20</v>
      </c>
      <c r="G15" s="13">
        <v>2.0</v>
      </c>
      <c r="H15" s="13">
        <v>1.0</v>
      </c>
      <c r="I15" s="16">
        <v>5.0</v>
      </c>
      <c r="J15" s="16">
        <v>5.0</v>
      </c>
      <c r="K15" s="17" t="s">
        <v>79</v>
      </c>
      <c r="L15" s="18" t="s">
        <v>80</v>
      </c>
      <c r="M15" s="18" t="s">
        <v>81</v>
      </c>
      <c r="N15" s="19" t="s">
        <v>21</v>
      </c>
      <c r="O15" s="34" t="s">
        <v>21</v>
      </c>
      <c r="P15" s="21" t="s">
        <v>82</v>
      </c>
      <c r="Q15" s="26" t="s">
        <v>83</v>
      </c>
      <c r="R15" s="31" t="s">
        <v>84</v>
      </c>
      <c r="S15" s="32"/>
    </row>
    <row r="16">
      <c r="A16" s="11" t="b">
        <v>0</v>
      </c>
      <c r="B16" s="12" t="b">
        <v>0</v>
      </c>
      <c r="C16" s="13" t="s">
        <v>18</v>
      </c>
      <c r="D16" s="14" t="s">
        <v>85</v>
      </c>
      <c r="E16" s="13">
        <v>2.0</v>
      </c>
      <c r="F16" s="15" t="s">
        <v>20</v>
      </c>
      <c r="G16" s="13">
        <v>3.0</v>
      </c>
      <c r="H16" s="13">
        <v>1.0</v>
      </c>
      <c r="I16" s="16" t="s">
        <v>46</v>
      </c>
      <c r="J16" s="16">
        <v>9.0</v>
      </c>
      <c r="K16" s="17" t="s">
        <v>86</v>
      </c>
      <c r="L16" s="18" t="s">
        <v>87</v>
      </c>
      <c r="M16" s="18" t="s">
        <v>88</v>
      </c>
      <c r="N16" s="19" t="s">
        <v>67</v>
      </c>
      <c r="O16" s="19" t="s">
        <v>88</v>
      </c>
      <c r="P16" s="21"/>
      <c r="Q16" s="35"/>
      <c r="R16" s="40" t="s">
        <v>89</v>
      </c>
      <c r="S16" s="24"/>
    </row>
    <row r="17">
      <c r="A17" s="11" t="b">
        <v>0</v>
      </c>
      <c r="B17" s="12" t="b">
        <v>0</v>
      </c>
      <c r="C17" s="13" t="s">
        <v>18</v>
      </c>
      <c r="D17" s="14" t="s">
        <v>90</v>
      </c>
      <c r="E17" s="13">
        <v>3.0</v>
      </c>
      <c r="F17" s="15" t="s">
        <v>40</v>
      </c>
      <c r="G17" s="13">
        <v>3.0</v>
      </c>
      <c r="H17" s="13">
        <v>1.0</v>
      </c>
      <c r="I17" s="16">
        <v>3.0</v>
      </c>
      <c r="J17" s="16">
        <v>7.0</v>
      </c>
      <c r="K17" s="17" t="s">
        <v>91</v>
      </c>
      <c r="L17" s="18" t="s">
        <v>92</v>
      </c>
      <c r="M17" s="18" t="s">
        <v>88</v>
      </c>
      <c r="N17" s="19" t="s">
        <v>93</v>
      </c>
      <c r="O17" s="19" t="s">
        <v>74</v>
      </c>
      <c r="P17" s="21" t="s">
        <v>92</v>
      </c>
      <c r="Q17" s="41" t="s">
        <v>94</v>
      </c>
      <c r="R17" s="23" t="s">
        <v>21</v>
      </c>
      <c r="S17" s="24"/>
    </row>
    <row r="18">
      <c r="A18" s="11" t="b">
        <v>1</v>
      </c>
      <c r="B18" s="12" t="b">
        <v>0</v>
      </c>
      <c r="C18" s="13" t="s">
        <v>18</v>
      </c>
      <c r="D18" s="14" t="s">
        <v>95</v>
      </c>
      <c r="E18" s="13">
        <v>4.0</v>
      </c>
      <c r="F18" s="15" t="s">
        <v>40</v>
      </c>
      <c r="G18" s="13">
        <v>3.0</v>
      </c>
      <c r="H18" s="13">
        <v>2.0</v>
      </c>
      <c r="I18" s="16">
        <v>3.0</v>
      </c>
      <c r="J18" s="16">
        <v>3.0</v>
      </c>
      <c r="K18" s="17" t="s">
        <v>96</v>
      </c>
      <c r="L18" s="18" t="s">
        <v>21</v>
      </c>
      <c r="M18" s="18" t="s">
        <v>21</v>
      </c>
      <c r="N18" s="19" t="s">
        <v>97</v>
      </c>
      <c r="O18" s="19" t="s">
        <v>43</v>
      </c>
      <c r="P18" s="21" t="s">
        <v>21</v>
      </c>
      <c r="Q18" s="35" t="s">
        <v>98</v>
      </c>
      <c r="R18" s="23" t="s">
        <v>21</v>
      </c>
      <c r="S18" s="24"/>
    </row>
    <row r="19">
      <c r="A19" s="11" t="b">
        <v>0</v>
      </c>
      <c r="B19" s="12" t="b">
        <v>0</v>
      </c>
      <c r="C19" s="13" t="s">
        <v>18</v>
      </c>
      <c r="D19" s="14" t="s">
        <v>99</v>
      </c>
      <c r="E19" s="13">
        <v>4.0</v>
      </c>
      <c r="F19" s="15" t="s">
        <v>40</v>
      </c>
      <c r="G19" s="13">
        <v>3.0</v>
      </c>
      <c r="H19" s="13">
        <v>1.0</v>
      </c>
      <c r="I19" s="16">
        <v>4.0</v>
      </c>
      <c r="J19" s="16">
        <v>6.0</v>
      </c>
      <c r="K19" s="25" t="s">
        <v>100</v>
      </c>
      <c r="L19" s="18" t="s">
        <v>21</v>
      </c>
      <c r="M19" s="18" t="s">
        <v>21</v>
      </c>
      <c r="N19" s="19" t="s">
        <v>101</v>
      </c>
      <c r="O19" s="19" t="s">
        <v>102</v>
      </c>
      <c r="P19" s="21" t="s">
        <v>103</v>
      </c>
      <c r="Q19" s="26" t="s">
        <v>104</v>
      </c>
      <c r="R19" s="23" t="s">
        <v>21</v>
      </c>
      <c r="S19" s="24"/>
    </row>
    <row r="20">
      <c r="A20" s="42" t="b">
        <v>0</v>
      </c>
      <c r="B20" s="43" t="b">
        <v>0</v>
      </c>
      <c r="C20" s="44" t="s">
        <v>105</v>
      </c>
      <c r="D20" s="45" t="s">
        <v>106</v>
      </c>
      <c r="E20" s="13">
        <v>1.0</v>
      </c>
      <c r="F20" s="15" t="s">
        <v>20</v>
      </c>
      <c r="G20" s="13">
        <v>1.0</v>
      </c>
      <c r="H20" s="13">
        <v>2.0</v>
      </c>
      <c r="I20" s="13" t="s">
        <v>21</v>
      </c>
      <c r="J20" s="13" t="s">
        <v>21</v>
      </c>
      <c r="K20" s="17" t="s">
        <v>107</v>
      </c>
      <c r="L20" s="18" t="s">
        <v>21</v>
      </c>
      <c r="M20" s="46" t="s">
        <v>21</v>
      </c>
      <c r="N20" s="34" t="s">
        <v>21</v>
      </c>
      <c r="O20" s="34" t="s">
        <v>21</v>
      </c>
      <c r="P20" s="47" t="s">
        <v>21</v>
      </c>
      <c r="Q20" s="22" t="s">
        <v>21</v>
      </c>
      <c r="R20" s="23" t="s">
        <v>21</v>
      </c>
      <c r="S20" s="24"/>
    </row>
    <row r="21">
      <c r="A21" s="42" t="b">
        <v>1</v>
      </c>
      <c r="B21" s="43" t="b">
        <v>0</v>
      </c>
      <c r="C21" s="44" t="s">
        <v>105</v>
      </c>
      <c r="D21" s="45" t="s">
        <v>108</v>
      </c>
      <c r="E21" s="13">
        <v>1.0</v>
      </c>
      <c r="F21" s="15" t="s">
        <v>20</v>
      </c>
      <c r="G21" s="13">
        <v>1.0</v>
      </c>
      <c r="H21" s="13">
        <v>1.0</v>
      </c>
      <c r="I21" s="13" t="s">
        <v>21</v>
      </c>
      <c r="J21" s="13" t="s">
        <v>21</v>
      </c>
      <c r="K21" s="17" t="s">
        <v>109</v>
      </c>
      <c r="L21" s="46" t="s">
        <v>21</v>
      </c>
      <c r="M21" s="46" t="s">
        <v>21</v>
      </c>
      <c r="N21" s="34" t="s">
        <v>21</v>
      </c>
      <c r="O21" s="34" t="s">
        <v>21</v>
      </c>
      <c r="P21" s="47" t="s">
        <v>21</v>
      </c>
      <c r="Q21" s="22" t="s">
        <v>21</v>
      </c>
      <c r="R21" s="23" t="s">
        <v>21</v>
      </c>
      <c r="S21" s="24"/>
    </row>
    <row r="22">
      <c r="A22" s="42" t="b">
        <v>1</v>
      </c>
      <c r="B22" s="43" t="b">
        <v>0</v>
      </c>
      <c r="C22" s="44" t="s">
        <v>105</v>
      </c>
      <c r="D22" s="45" t="s">
        <v>110</v>
      </c>
      <c r="E22" s="13">
        <v>2.0</v>
      </c>
      <c r="F22" s="15" t="s">
        <v>20</v>
      </c>
      <c r="G22" s="13">
        <v>1.0</v>
      </c>
      <c r="H22" s="13">
        <v>2.0</v>
      </c>
      <c r="I22" s="13" t="s">
        <v>21</v>
      </c>
      <c r="J22" s="13" t="s">
        <v>21</v>
      </c>
      <c r="K22" s="17" t="s">
        <v>111</v>
      </c>
      <c r="L22" s="18" t="s">
        <v>112</v>
      </c>
      <c r="M22" s="48" t="s">
        <v>113</v>
      </c>
      <c r="N22" s="19" t="s">
        <v>67</v>
      </c>
      <c r="O22" s="49" t="s">
        <v>113</v>
      </c>
      <c r="P22" s="27"/>
      <c r="Q22" s="28"/>
      <c r="R22" s="50"/>
      <c r="S22" s="51"/>
    </row>
    <row r="23">
      <c r="A23" s="42" t="b">
        <v>1</v>
      </c>
      <c r="B23" s="43" t="b">
        <v>0</v>
      </c>
      <c r="C23" s="44" t="s">
        <v>105</v>
      </c>
      <c r="D23" s="45" t="s">
        <v>114</v>
      </c>
      <c r="E23" s="13">
        <v>2.0</v>
      </c>
      <c r="F23" s="15" t="s">
        <v>20</v>
      </c>
      <c r="G23" s="13">
        <v>1.0</v>
      </c>
      <c r="H23" s="13">
        <v>1.0</v>
      </c>
      <c r="I23" s="13" t="s">
        <v>21</v>
      </c>
      <c r="J23" s="13" t="s">
        <v>21</v>
      </c>
      <c r="K23" s="17" t="s">
        <v>115</v>
      </c>
      <c r="L23" s="18" t="s">
        <v>48</v>
      </c>
      <c r="M23" s="48" t="s">
        <v>116</v>
      </c>
      <c r="N23" s="19" t="s">
        <v>117</v>
      </c>
      <c r="O23" s="52" t="s">
        <v>116</v>
      </c>
      <c r="P23" s="27" t="s">
        <v>118</v>
      </c>
      <c r="Q23" s="28" t="s">
        <v>119</v>
      </c>
      <c r="R23" s="53"/>
      <c r="S23" s="54"/>
    </row>
    <row r="24">
      <c r="A24" s="42" t="b">
        <v>1</v>
      </c>
      <c r="B24" s="43" t="b">
        <v>0</v>
      </c>
      <c r="C24" s="44" t="s">
        <v>105</v>
      </c>
      <c r="D24" s="45" t="s">
        <v>120</v>
      </c>
      <c r="E24" s="13">
        <v>2.0</v>
      </c>
      <c r="F24" s="15" t="s">
        <v>20</v>
      </c>
      <c r="G24" s="13">
        <v>1.0</v>
      </c>
      <c r="H24" s="13">
        <v>2.0</v>
      </c>
      <c r="I24" s="13" t="s">
        <v>21</v>
      </c>
      <c r="J24" s="13" t="s">
        <v>21</v>
      </c>
      <c r="K24" s="17" t="s">
        <v>121</v>
      </c>
      <c r="L24" s="55" t="s">
        <v>122</v>
      </c>
      <c r="M24" s="56" t="s">
        <v>123</v>
      </c>
      <c r="N24" s="19" t="s">
        <v>117</v>
      </c>
      <c r="O24" s="57" t="s">
        <v>123</v>
      </c>
      <c r="P24" s="27" t="s">
        <v>122</v>
      </c>
      <c r="Q24" s="58" t="s">
        <v>124</v>
      </c>
      <c r="R24" s="53"/>
      <c r="S24" s="54"/>
    </row>
    <row r="25">
      <c r="A25" s="42" t="b">
        <v>1</v>
      </c>
      <c r="B25" s="43" t="b">
        <v>0</v>
      </c>
      <c r="C25" s="44" t="s">
        <v>105</v>
      </c>
      <c r="D25" s="14" t="s">
        <v>125</v>
      </c>
      <c r="E25" s="13">
        <v>2.0</v>
      </c>
      <c r="F25" s="15" t="s">
        <v>20</v>
      </c>
      <c r="G25" s="13">
        <v>1.0</v>
      </c>
      <c r="H25" s="13">
        <v>2.0</v>
      </c>
      <c r="I25" s="13" t="s">
        <v>21</v>
      </c>
      <c r="J25" s="13" t="s">
        <v>21</v>
      </c>
      <c r="K25" s="17" t="s">
        <v>126</v>
      </c>
      <c r="L25" s="18" t="s">
        <v>127</v>
      </c>
      <c r="M25" s="48" t="s">
        <v>123</v>
      </c>
      <c r="N25" s="19" t="s">
        <v>128</v>
      </c>
      <c r="O25" s="19" t="s">
        <v>129</v>
      </c>
      <c r="P25" s="27" t="s">
        <v>130</v>
      </c>
      <c r="Q25" s="28" t="s">
        <v>131</v>
      </c>
      <c r="R25" s="23" t="s">
        <v>21</v>
      </c>
      <c r="S25" s="24"/>
    </row>
    <row r="26">
      <c r="A26" s="42" t="b">
        <v>1</v>
      </c>
      <c r="B26" s="43" t="b">
        <v>0</v>
      </c>
      <c r="C26" s="44" t="s">
        <v>105</v>
      </c>
      <c r="D26" s="14" t="s">
        <v>132</v>
      </c>
      <c r="E26" s="13">
        <v>3.0</v>
      </c>
      <c r="F26" s="15" t="s">
        <v>40</v>
      </c>
      <c r="G26" s="13">
        <v>1.0</v>
      </c>
      <c r="H26" s="13">
        <v>1.0</v>
      </c>
      <c r="I26" s="13" t="s">
        <v>21</v>
      </c>
      <c r="J26" s="13" t="s">
        <v>21</v>
      </c>
      <c r="K26" s="17" t="s">
        <v>133</v>
      </c>
      <c r="L26" s="18" t="s">
        <v>134</v>
      </c>
      <c r="M26" s="48" t="s">
        <v>135</v>
      </c>
      <c r="N26" s="19" t="s">
        <v>67</v>
      </c>
      <c r="O26" s="49" t="s">
        <v>135</v>
      </c>
      <c r="P26" s="27" t="s">
        <v>134</v>
      </c>
      <c r="Q26" s="28" t="s">
        <v>136</v>
      </c>
      <c r="R26" s="50" t="s">
        <v>137</v>
      </c>
      <c r="S26" s="51"/>
    </row>
    <row r="27">
      <c r="A27" s="42" t="b">
        <v>1</v>
      </c>
      <c r="B27" s="43" t="b">
        <v>0</v>
      </c>
      <c r="C27" s="44" t="s">
        <v>105</v>
      </c>
      <c r="D27" s="14" t="s">
        <v>138</v>
      </c>
      <c r="E27" s="13">
        <v>3.0</v>
      </c>
      <c r="F27" s="15" t="s">
        <v>40</v>
      </c>
      <c r="G27" s="13">
        <v>1.0</v>
      </c>
      <c r="H27" s="13">
        <v>1.0</v>
      </c>
      <c r="I27" s="13" t="s">
        <v>21</v>
      </c>
      <c r="J27" s="13" t="s">
        <v>21</v>
      </c>
      <c r="K27" s="17" t="s">
        <v>139</v>
      </c>
      <c r="L27" s="18" t="s">
        <v>48</v>
      </c>
      <c r="M27" s="48" t="s">
        <v>116</v>
      </c>
      <c r="N27" s="19" t="s">
        <v>67</v>
      </c>
      <c r="O27" s="52" t="s">
        <v>116</v>
      </c>
      <c r="P27" s="47" t="s">
        <v>21</v>
      </c>
      <c r="Q27" s="22" t="s">
        <v>21</v>
      </c>
      <c r="R27" s="23" t="s">
        <v>21</v>
      </c>
      <c r="S27" s="24"/>
    </row>
    <row r="28">
      <c r="A28" s="42" t="b">
        <v>0</v>
      </c>
      <c r="B28" s="43" t="b">
        <v>0</v>
      </c>
      <c r="C28" s="44" t="s">
        <v>105</v>
      </c>
      <c r="D28" s="45" t="s">
        <v>140</v>
      </c>
      <c r="E28" s="13">
        <v>2.0</v>
      </c>
      <c r="F28" s="15" t="s">
        <v>20</v>
      </c>
      <c r="G28" s="13">
        <v>2.0</v>
      </c>
      <c r="H28" s="13">
        <v>2.0</v>
      </c>
      <c r="I28" s="13" t="s">
        <v>21</v>
      </c>
      <c r="J28" s="13" t="s">
        <v>21</v>
      </c>
      <c r="K28" s="17" t="s">
        <v>141</v>
      </c>
      <c r="L28" s="18" t="s">
        <v>142</v>
      </c>
      <c r="M28" s="48" t="s">
        <v>143</v>
      </c>
      <c r="N28" s="19" t="s">
        <v>21</v>
      </c>
      <c r="O28" s="19" t="s">
        <v>21</v>
      </c>
      <c r="P28" s="27" t="s">
        <v>144</v>
      </c>
      <c r="Q28" s="59" t="s">
        <v>145</v>
      </c>
      <c r="R28" s="29" t="s">
        <v>146</v>
      </c>
      <c r="S28" s="30"/>
    </row>
    <row r="29">
      <c r="A29" s="42" t="b">
        <v>1</v>
      </c>
      <c r="B29" s="43" t="b">
        <v>0</v>
      </c>
      <c r="C29" s="44" t="s">
        <v>105</v>
      </c>
      <c r="D29" s="45" t="s">
        <v>147</v>
      </c>
      <c r="E29" s="13">
        <v>3.0</v>
      </c>
      <c r="F29" s="15" t="s">
        <v>20</v>
      </c>
      <c r="G29" s="13">
        <v>2.0</v>
      </c>
      <c r="H29" s="13">
        <v>2.0</v>
      </c>
      <c r="I29" s="13" t="s">
        <v>21</v>
      </c>
      <c r="J29" s="13" t="s">
        <v>21</v>
      </c>
      <c r="K29" s="17" t="s">
        <v>148</v>
      </c>
      <c r="L29" s="18" t="s">
        <v>149</v>
      </c>
      <c r="M29" s="48" t="s">
        <v>31</v>
      </c>
      <c r="N29" s="19" t="s">
        <v>117</v>
      </c>
      <c r="O29" s="52" t="s">
        <v>31</v>
      </c>
      <c r="P29" s="47" t="s">
        <v>21</v>
      </c>
      <c r="Q29" s="60" t="s">
        <v>21</v>
      </c>
      <c r="R29" s="40" t="s">
        <v>150</v>
      </c>
      <c r="S29" s="54"/>
    </row>
    <row r="30">
      <c r="A30" s="42" t="b">
        <v>0</v>
      </c>
      <c r="B30" s="43" t="b">
        <v>0</v>
      </c>
      <c r="C30" s="44" t="s">
        <v>105</v>
      </c>
      <c r="D30" s="14" t="s">
        <v>151</v>
      </c>
      <c r="E30" s="13">
        <v>4.0</v>
      </c>
      <c r="F30" s="15" t="s">
        <v>40</v>
      </c>
      <c r="G30" s="13">
        <v>2.0</v>
      </c>
      <c r="H30" s="13">
        <v>1.0</v>
      </c>
      <c r="I30" s="13" t="s">
        <v>21</v>
      </c>
      <c r="J30" s="13" t="s">
        <v>21</v>
      </c>
      <c r="K30" s="18" t="s">
        <v>152</v>
      </c>
      <c r="L30" s="18" t="s">
        <v>21</v>
      </c>
      <c r="M30" s="18" t="s">
        <v>21</v>
      </c>
      <c r="N30" s="19" t="s">
        <v>21</v>
      </c>
      <c r="O30" s="19" t="s">
        <v>21</v>
      </c>
      <c r="P30" s="21" t="s">
        <v>153</v>
      </c>
      <c r="Q30" s="26" t="s">
        <v>154</v>
      </c>
      <c r="R30" s="23" t="s">
        <v>21</v>
      </c>
      <c r="S30" s="24"/>
    </row>
    <row r="31">
      <c r="A31" s="42" t="b">
        <v>1</v>
      </c>
      <c r="B31" s="43" t="b">
        <v>0</v>
      </c>
      <c r="C31" s="44" t="s">
        <v>105</v>
      </c>
      <c r="D31" s="14" t="s">
        <v>155</v>
      </c>
      <c r="E31" s="13">
        <v>3.0</v>
      </c>
      <c r="F31" s="15" t="s">
        <v>20</v>
      </c>
      <c r="G31" s="13">
        <v>2.0</v>
      </c>
      <c r="H31" s="13">
        <v>2.0</v>
      </c>
      <c r="I31" s="13" t="s">
        <v>21</v>
      </c>
      <c r="J31" s="13" t="s">
        <v>21</v>
      </c>
      <c r="K31" s="17" t="s">
        <v>156</v>
      </c>
      <c r="L31" s="18" t="s">
        <v>59</v>
      </c>
      <c r="M31" s="48" t="s">
        <v>60</v>
      </c>
      <c r="N31" s="19" t="s">
        <v>67</v>
      </c>
      <c r="O31" s="52" t="s">
        <v>123</v>
      </c>
      <c r="P31" s="47" t="s">
        <v>157</v>
      </c>
      <c r="Q31" s="41" t="s">
        <v>158</v>
      </c>
      <c r="R31" s="23" t="s">
        <v>21</v>
      </c>
      <c r="S31" s="24"/>
    </row>
    <row r="32">
      <c r="A32" s="42" t="b">
        <v>1</v>
      </c>
      <c r="B32" s="43" t="b">
        <v>0</v>
      </c>
      <c r="C32" s="44" t="s">
        <v>105</v>
      </c>
      <c r="D32" s="14" t="s">
        <v>159</v>
      </c>
      <c r="E32" s="13">
        <v>4.0</v>
      </c>
      <c r="F32" s="15" t="s">
        <v>40</v>
      </c>
      <c r="G32" s="13">
        <v>2.0</v>
      </c>
      <c r="H32" s="13">
        <v>2.0</v>
      </c>
      <c r="I32" s="13" t="s">
        <v>21</v>
      </c>
      <c r="J32" s="13" t="s">
        <v>21</v>
      </c>
      <c r="K32" s="17" t="s">
        <v>160</v>
      </c>
      <c r="L32" s="18" t="s">
        <v>21</v>
      </c>
      <c r="M32" s="18" t="s">
        <v>21</v>
      </c>
      <c r="N32" s="19" t="s">
        <v>161</v>
      </c>
      <c r="O32" s="19" t="s">
        <v>162</v>
      </c>
      <c r="P32" s="27" t="s">
        <v>163</v>
      </c>
      <c r="Q32" s="28" t="s">
        <v>164</v>
      </c>
      <c r="R32" s="61" t="s">
        <v>165</v>
      </c>
      <c r="S32" s="24"/>
    </row>
    <row r="33">
      <c r="A33" s="42" t="b">
        <v>0</v>
      </c>
      <c r="B33" s="43" t="b">
        <v>0</v>
      </c>
      <c r="C33" s="44" t="s">
        <v>105</v>
      </c>
      <c r="D33" s="14" t="s">
        <v>166</v>
      </c>
      <c r="E33" s="13">
        <v>4.0</v>
      </c>
      <c r="F33" s="15" t="s">
        <v>40</v>
      </c>
      <c r="G33" s="13">
        <v>2.0</v>
      </c>
      <c r="H33" s="13">
        <v>2.0</v>
      </c>
      <c r="I33" s="13" t="s">
        <v>21</v>
      </c>
      <c r="J33" s="13" t="s">
        <v>21</v>
      </c>
      <c r="K33" s="18" t="s">
        <v>167</v>
      </c>
      <c r="L33" s="18" t="s">
        <v>21</v>
      </c>
      <c r="M33" s="18" t="s">
        <v>21</v>
      </c>
      <c r="N33" s="19" t="s">
        <v>168</v>
      </c>
      <c r="O33" s="49" t="s">
        <v>31</v>
      </c>
      <c r="P33" s="27" t="s">
        <v>169</v>
      </c>
      <c r="Q33" s="62" t="s">
        <v>170</v>
      </c>
      <c r="R33" s="63" t="s">
        <v>171</v>
      </c>
      <c r="S33" s="64"/>
    </row>
    <row r="34">
      <c r="A34" s="42" t="b">
        <v>1</v>
      </c>
      <c r="B34" s="43" t="b">
        <v>0</v>
      </c>
      <c r="C34" s="44" t="s">
        <v>105</v>
      </c>
      <c r="D34" s="65" t="s">
        <v>172</v>
      </c>
      <c r="E34" s="13">
        <v>4.0</v>
      </c>
      <c r="F34" s="66" t="s">
        <v>40</v>
      </c>
      <c r="G34" s="13">
        <v>2.0</v>
      </c>
      <c r="H34" s="67">
        <v>1.0</v>
      </c>
      <c r="I34" s="13" t="s">
        <v>21</v>
      </c>
      <c r="J34" s="13" t="s">
        <v>21</v>
      </c>
      <c r="K34" s="68" t="s">
        <v>173</v>
      </c>
      <c r="L34" s="18" t="s">
        <v>21</v>
      </c>
      <c r="M34" s="18" t="s">
        <v>21</v>
      </c>
      <c r="N34" s="19" t="s">
        <v>48</v>
      </c>
      <c r="O34" s="49" t="s">
        <v>31</v>
      </c>
      <c r="P34" s="27" t="s">
        <v>174</v>
      </c>
      <c r="Q34" s="69" t="s">
        <v>175</v>
      </c>
      <c r="R34" s="63" t="s">
        <v>176</v>
      </c>
      <c r="S34" s="64"/>
    </row>
    <row r="35">
      <c r="A35" s="42" t="b">
        <v>1</v>
      </c>
      <c r="B35" s="43" t="b">
        <v>0</v>
      </c>
      <c r="C35" s="44" t="s">
        <v>105</v>
      </c>
      <c r="D35" s="14" t="s">
        <v>177</v>
      </c>
      <c r="E35" s="13">
        <v>4.0</v>
      </c>
      <c r="F35" s="15" t="s">
        <v>20</v>
      </c>
      <c r="G35" s="13">
        <v>3.0</v>
      </c>
      <c r="H35" s="13">
        <v>1.0</v>
      </c>
      <c r="I35" s="13" t="s">
        <v>21</v>
      </c>
      <c r="J35" s="13" t="s">
        <v>21</v>
      </c>
      <c r="K35" s="17" t="s">
        <v>178</v>
      </c>
      <c r="L35" s="18" t="s">
        <v>53</v>
      </c>
      <c r="M35" s="18" t="s">
        <v>43</v>
      </c>
      <c r="N35" s="34" t="s">
        <v>67</v>
      </c>
      <c r="O35" s="49" t="s">
        <v>43</v>
      </c>
      <c r="P35" s="27" t="s">
        <v>179</v>
      </c>
      <c r="Q35" s="28" t="s">
        <v>180</v>
      </c>
      <c r="R35" s="53"/>
      <c r="S35" s="54"/>
    </row>
    <row r="36">
      <c r="A36" s="42" t="b">
        <v>0</v>
      </c>
      <c r="B36" s="43" t="b">
        <v>0</v>
      </c>
      <c r="C36" s="44" t="s">
        <v>105</v>
      </c>
      <c r="D36" s="14" t="s">
        <v>181</v>
      </c>
      <c r="E36" s="13">
        <v>3.0</v>
      </c>
      <c r="F36" s="15" t="s">
        <v>40</v>
      </c>
      <c r="G36" s="13">
        <v>3.0</v>
      </c>
      <c r="H36" s="13">
        <v>1.0</v>
      </c>
      <c r="I36" s="13" t="s">
        <v>21</v>
      </c>
      <c r="J36" s="13" t="s">
        <v>21</v>
      </c>
      <c r="K36" s="17" t="s">
        <v>182</v>
      </c>
      <c r="L36" s="18" t="s">
        <v>183</v>
      </c>
      <c r="M36" s="48" t="s">
        <v>118</v>
      </c>
      <c r="N36" s="19" t="s">
        <v>21</v>
      </c>
      <c r="O36" s="19" t="s">
        <v>21</v>
      </c>
      <c r="P36" s="27" t="s">
        <v>184</v>
      </c>
      <c r="Q36" s="28" t="s">
        <v>185</v>
      </c>
      <c r="R36" s="63" t="s">
        <v>186</v>
      </c>
      <c r="S36" s="64"/>
    </row>
    <row r="37">
      <c r="A37" s="42" t="b">
        <v>0</v>
      </c>
      <c r="B37" s="43" t="b">
        <v>0</v>
      </c>
      <c r="C37" s="44" t="s">
        <v>105</v>
      </c>
      <c r="D37" s="14" t="s">
        <v>187</v>
      </c>
      <c r="E37" s="13">
        <v>4.0</v>
      </c>
      <c r="F37" s="15" t="s">
        <v>40</v>
      </c>
      <c r="G37" s="13">
        <v>3.0</v>
      </c>
      <c r="H37" s="13">
        <v>1.0</v>
      </c>
      <c r="I37" s="13" t="s">
        <v>21</v>
      </c>
      <c r="J37" s="13" t="s">
        <v>21</v>
      </c>
      <c r="K37" s="17" t="s">
        <v>188</v>
      </c>
      <c r="L37" s="18" t="s">
        <v>21</v>
      </c>
      <c r="M37" s="18" t="s">
        <v>21</v>
      </c>
      <c r="N37" s="19" t="s">
        <v>189</v>
      </c>
      <c r="O37" s="49" t="s">
        <v>190</v>
      </c>
      <c r="P37" s="27" t="s">
        <v>191</v>
      </c>
      <c r="Q37" s="70" t="s">
        <v>192</v>
      </c>
      <c r="R37" s="63" t="s">
        <v>193</v>
      </c>
      <c r="S37" s="64"/>
    </row>
    <row r="38">
      <c r="A38" s="42" t="b">
        <v>1</v>
      </c>
      <c r="B38" s="43" t="b">
        <v>0</v>
      </c>
      <c r="C38" s="44" t="s">
        <v>105</v>
      </c>
      <c r="D38" s="45" t="s">
        <v>194</v>
      </c>
      <c r="E38" s="13">
        <v>2.0</v>
      </c>
      <c r="F38" s="15" t="s">
        <v>40</v>
      </c>
      <c r="G38" s="13">
        <v>3.0</v>
      </c>
      <c r="H38" s="13">
        <v>1.0</v>
      </c>
      <c r="I38" s="13" t="s">
        <v>21</v>
      </c>
      <c r="J38" s="13" t="s">
        <v>21</v>
      </c>
      <c r="K38" s="17" t="s">
        <v>195</v>
      </c>
      <c r="L38" s="18" t="s">
        <v>196</v>
      </c>
      <c r="M38" s="18" t="s">
        <v>113</v>
      </c>
      <c r="N38" s="19" t="s">
        <v>128</v>
      </c>
      <c r="O38" s="19" t="s">
        <v>197</v>
      </c>
      <c r="P38" s="27" t="s">
        <v>130</v>
      </c>
      <c r="Q38" s="28" t="s">
        <v>198</v>
      </c>
      <c r="R38" s="53"/>
      <c r="S38" s="54"/>
    </row>
    <row r="39">
      <c r="A39" s="42" t="b">
        <v>0</v>
      </c>
      <c r="B39" s="43" t="b">
        <v>0</v>
      </c>
      <c r="C39" s="44" t="s">
        <v>105</v>
      </c>
      <c r="D39" s="45" t="s">
        <v>199</v>
      </c>
      <c r="E39" s="13">
        <v>3.0</v>
      </c>
      <c r="F39" s="15" t="s">
        <v>40</v>
      </c>
      <c r="G39" s="13">
        <v>3.0</v>
      </c>
      <c r="H39" s="13">
        <v>1.0</v>
      </c>
      <c r="I39" s="13" t="s">
        <v>21</v>
      </c>
      <c r="J39" s="13" t="s">
        <v>21</v>
      </c>
      <c r="K39" s="17" t="s">
        <v>200</v>
      </c>
      <c r="L39" s="18" t="s">
        <v>66</v>
      </c>
      <c r="M39" s="48" t="s">
        <v>31</v>
      </c>
      <c r="N39" s="19" t="s">
        <v>67</v>
      </c>
      <c r="O39" s="52" t="s">
        <v>31</v>
      </c>
      <c r="P39" s="47" t="s">
        <v>21</v>
      </c>
      <c r="Q39" s="22" t="s">
        <v>21</v>
      </c>
      <c r="R39" s="40" t="s">
        <v>201</v>
      </c>
      <c r="S39" s="71"/>
    </row>
    <row r="40">
      <c r="A40" s="42" t="b">
        <v>0</v>
      </c>
      <c r="B40" s="43" t="b">
        <v>1</v>
      </c>
      <c r="C40" s="44" t="s">
        <v>105</v>
      </c>
      <c r="D40" s="72" t="s">
        <v>202</v>
      </c>
      <c r="E40" s="36">
        <v>2.0</v>
      </c>
      <c r="F40" s="15" t="s">
        <v>20</v>
      </c>
      <c r="G40" s="36">
        <v>1.0</v>
      </c>
      <c r="H40" s="36">
        <v>1.0</v>
      </c>
      <c r="I40" s="36" t="s">
        <v>21</v>
      </c>
      <c r="J40" s="36" t="s">
        <v>21</v>
      </c>
      <c r="K40" s="38" t="s">
        <v>203</v>
      </c>
      <c r="L40" s="18" t="s">
        <v>21</v>
      </c>
      <c r="M40" s="18" t="s">
        <v>21</v>
      </c>
      <c r="N40" s="19" t="s">
        <v>21</v>
      </c>
      <c r="O40" s="19" t="s">
        <v>21</v>
      </c>
      <c r="P40" s="27" t="s">
        <v>204</v>
      </c>
      <c r="Q40" s="28" t="s">
        <v>205</v>
      </c>
      <c r="R40" s="53"/>
      <c r="S40" s="54"/>
    </row>
    <row r="41">
      <c r="A41" s="42" t="b">
        <v>0</v>
      </c>
      <c r="B41" s="43" t="b">
        <v>1</v>
      </c>
      <c r="C41" s="44" t="s">
        <v>105</v>
      </c>
      <c r="D41" s="45" t="s">
        <v>120</v>
      </c>
      <c r="E41" s="13">
        <v>2.0</v>
      </c>
      <c r="F41" s="15" t="s">
        <v>20</v>
      </c>
      <c r="G41" s="13">
        <v>1.0</v>
      </c>
      <c r="H41" s="13">
        <v>2.0</v>
      </c>
      <c r="I41" s="13" t="s">
        <v>21</v>
      </c>
      <c r="J41" s="13" t="s">
        <v>21</v>
      </c>
      <c r="K41" s="17" t="s">
        <v>121</v>
      </c>
      <c r="L41" s="18" t="s">
        <v>206</v>
      </c>
      <c r="M41" s="48" t="s">
        <v>207</v>
      </c>
      <c r="N41" s="19" t="s">
        <v>117</v>
      </c>
      <c r="O41" s="52" t="s">
        <v>207</v>
      </c>
      <c r="P41" s="27" t="s">
        <v>88</v>
      </c>
      <c r="Q41" s="28" t="s">
        <v>208</v>
      </c>
      <c r="R41" s="53"/>
      <c r="S41" s="54"/>
    </row>
    <row r="42">
      <c r="A42" s="42" t="b">
        <v>0</v>
      </c>
      <c r="B42" s="43" t="b">
        <v>1</v>
      </c>
      <c r="C42" s="44" t="s">
        <v>105</v>
      </c>
      <c r="D42" s="65" t="s">
        <v>209</v>
      </c>
      <c r="E42" s="13">
        <v>4.0</v>
      </c>
      <c r="F42" s="66" t="s">
        <v>20</v>
      </c>
      <c r="G42" s="73"/>
      <c r="H42" s="67">
        <v>1.0</v>
      </c>
      <c r="I42" s="13" t="s">
        <v>21</v>
      </c>
      <c r="J42" s="13" t="s">
        <v>21</v>
      </c>
      <c r="K42" s="17" t="s">
        <v>210</v>
      </c>
      <c r="L42" s="74"/>
      <c r="M42" s="75"/>
      <c r="N42" s="76"/>
      <c r="O42" s="77"/>
      <c r="P42" s="78"/>
      <c r="Q42" s="79"/>
      <c r="R42" s="53"/>
      <c r="S42" s="54"/>
    </row>
  </sheetData>
  <conditionalFormatting sqref="A1:A42">
    <cfRule type="cellIs" dxfId="0" priority="1" operator="equal">
      <formula>TRUE</formula>
    </cfRule>
  </conditionalFormatting>
  <conditionalFormatting sqref="A2:J42 K2:K14 L2:S42 K19:K42">
    <cfRule type="expression" dxfId="1" priority="2">
      <formula>$B2=TRUE</formula>
    </cfRule>
  </conditionalFormatting>
  <conditionalFormatting sqref="F1:F42">
    <cfRule type="cellIs" dxfId="2" priority="3" operator="equal">
      <formula>"Starter"</formula>
    </cfRule>
  </conditionalFormatting>
  <conditionalFormatting sqref="F1:F42">
    <cfRule type="cellIs" dxfId="3" priority="4" operator="equal">
      <formula>"Uncommon"</formula>
    </cfRule>
  </conditionalFormatting>
  <conditionalFormatting sqref="G2:G42">
    <cfRule type="colorScale" priority="5">
      <colorScale>
        <cfvo type="formula" val="1"/>
        <cfvo type="formula" val="2"/>
        <cfvo type="formula" val="3"/>
        <color rgb="FFFFFFFF"/>
        <color rgb="FFCCCCCC"/>
        <color rgb="FF666666"/>
      </colorScale>
    </cfRule>
  </conditionalFormatting>
  <conditionalFormatting sqref="C2:E42 G2:K42">
    <cfRule type="expression" dxfId="4" priority="6">
      <formula>$C2="M"</formula>
    </cfRule>
  </conditionalFormatting>
  <conditionalFormatting sqref="C2:E42 G2:K42">
    <cfRule type="expression" dxfId="5" priority="7">
      <formula>$C2="I"</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hidden="1" min="1" max="2" width="5.0"/>
    <col customWidth="1" min="3" max="3" width="5.25"/>
    <col customWidth="1" min="4" max="4" width="12.25"/>
    <col customWidth="1" min="5" max="5" width="6.13"/>
    <col customWidth="1" min="6" max="6" width="7.63"/>
    <col customWidth="1" min="7" max="8" width="6.13"/>
    <col customWidth="1" min="9" max="10" width="7.38"/>
    <col customWidth="1" min="11" max="11" width="29.5"/>
    <col customWidth="1" hidden="1" min="12" max="12" width="12.75"/>
    <col customWidth="1" min="13" max="13" width="13.13"/>
    <col customWidth="1" min="17" max="17" width="27.0"/>
    <col customWidth="1" min="18" max="18" width="34.63"/>
    <col customWidth="1" min="19" max="19" width="28.88"/>
    <col customWidth="1" min="20" max="20" width="10.63"/>
    <col customWidth="1" min="21" max="21" width="28.88"/>
  </cols>
  <sheetData>
    <row r="1">
      <c r="A1" s="1" t="s">
        <v>211</v>
      </c>
      <c r="B1" s="2" t="s">
        <v>1</v>
      </c>
      <c r="C1" s="3" t="s">
        <v>2</v>
      </c>
      <c r="D1" s="3" t="s">
        <v>3</v>
      </c>
      <c r="E1" s="3" t="s">
        <v>4</v>
      </c>
      <c r="F1" s="4" t="s">
        <v>5</v>
      </c>
      <c r="G1" s="3" t="s">
        <v>6</v>
      </c>
      <c r="H1" s="3" t="s">
        <v>7</v>
      </c>
      <c r="I1" s="5" t="s">
        <v>8</v>
      </c>
      <c r="J1" s="5" t="s">
        <v>9</v>
      </c>
      <c r="K1" s="3" t="s">
        <v>10</v>
      </c>
      <c r="L1" s="4" t="s">
        <v>5</v>
      </c>
      <c r="M1" s="6" t="s">
        <v>11</v>
      </c>
      <c r="N1" s="6" t="s">
        <v>12</v>
      </c>
      <c r="O1" s="7" t="s">
        <v>13</v>
      </c>
      <c r="P1" s="7" t="s">
        <v>14</v>
      </c>
      <c r="Q1" s="8" t="s">
        <v>15</v>
      </c>
      <c r="R1" s="8" t="s">
        <v>16</v>
      </c>
      <c r="S1" s="9" t="s">
        <v>17</v>
      </c>
      <c r="T1" s="10" t="s">
        <v>212</v>
      </c>
      <c r="U1" s="10" t="s">
        <v>213</v>
      </c>
    </row>
    <row r="2">
      <c r="A2" s="11" t="b">
        <f>IFERROR(__xludf.DUMMYFUNCTION("FILTER('All Content (Mobs, Items)'!A:R,'All Content (Mobs, Items)'!B:B=FALSE)"),TRUE)</f>
        <v>1</v>
      </c>
      <c r="B2" s="12" t="b">
        <f>IFERROR(__xludf.DUMMYFUNCTION("""COMPUTED_VALUE"""),FALSE)</f>
        <v>0</v>
      </c>
      <c r="C2" s="13" t="str">
        <f>IFERROR(__xludf.DUMMYFUNCTION("""COMPUTED_VALUE"""),"M")</f>
        <v>M</v>
      </c>
      <c r="D2" s="14" t="str">
        <f>IFERROR(__xludf.DUMMYFUNCTION("""COMPUTED_VALUE"""),"Wizard")</f>
        <v>Wizard</v>
      </c>
      <c r="E2" s="13">
        <f>IFERROR(__xludf.DUMMYFUNCTION("""COMPUTED_VALUE"""),1.0)</f>
        <v>1</v>
      </c>
      <c r="F2" s="15" t="str">
        <f>IFERROR(__xludf.DUMMYFUNCTION("""COMPUTED_VALUE"""),"Starter")</f>
        <v>Starter</v>
      </c>
      <c r="G2" s="13">
        <f>IFERROR(__xludf.DUMMYFUNCTION("""COMPUTED_VALUE"""),1.0)</f>
        <v>1</v>
      </c>
      <c r="H2" s="13">
        <f>IFERROR(__xludf.DUMMYFUNCTION("""COMPUTED_VALUE"""),2.0)</f>
        <v>2</v>
      </c>
      <c r="I2" s="16">
        <f>IFERROR(__xludf.DUMMYFUNCTION("""COMPUTED_VALUE"""),5.0)</f>
        <v>5</v>
      </c>
      <c r="J2" s="16">
        <f>IFERROR(__xludf.DUMMYFUNCTION("""COMPUTED_VALUE"""),2.0)</f>
        <v>2</v>
      </c>
      <c r="K2" s="17" t="str">
        <f>IFERROR(__xludf.DUMMYFUNCTION("""COMPUTED_VALUE"""),"---")</f>
        <v>---</v>
      </c>
      <c r="L2" s="15" t="str">
        <f>IFERROR(__xludf.DUMMYFUNCTION("""COMPUTED_VALUE"""),"---")</f>
        <v>---</v>
      </c>
      <c r="M2" s="18"/>
      <c r="N2" s="18" t="str">
        <f>IFERROR(__xludf.DUMMYFUNCTION("""COMPUTED_VALUE"""),"---")</f>
        <v>---</v>
      </c>
      <c r="O2" s="19" t="str">
        <f>IFERROR(__xludf.DUMMYFUNCTION("""COMPUTED_VALUE"""),"---")</f>
        <v>---</v>
      </c>
      <c r="P2" s="20" t="str">
        <f>IFERROR(__xludf.DUMMYFUNCTION("""COMPUTED_VALUE"""),"---")</f>
        <v>---</v>
      </c>
      <c r="Q2" s="41" t="str">
        <f>IFERROR(__xludf.DUMMYFUNCTION("""COMPUTED_VALUE"""),"---")</f>
        <v>---</v>
      </c>
      <c r="R2" s="22" t="str">
        <f>IFERROR(__xludf.DUMMYFUNCTION("""COMPUTED_VALUE"""),"---")</f>
        <v>---</v>
      </c>
      <c r="S2" s="23"/>
      <c r="T2" s="80"/>
      <c r="U2" s="24"/>
    </row>
    <row r="3">
      <c r="A3" s="11" t="b">
        <f>IFERROR(__xludf.DUMMYFUNCTION("""COMPUTED_VALUE"""),TRUE)</f>
        <v>1</v>
      </c>
      <c r="B3" s="12" t="b">
        <f>IFERROR(__xludf.DUMMYFUNCTION("""COMPUTED_VALUE"""),FALSE)</f>
        <v>0</v>
      </c>
      <c r="C3" s="13" t="str">
        <f>IFERROR(__xludf.DUMMYFUNCTION("""COMPUTED_VALUE"""),"M")</f>
        <v>M</v>
      </c>
      <c r="D3" s="14" t="str">
        <f>IFERROR(__xludf.DUMMYFUNCTION("""COMPUTED_VALUE"""),"Golem")</f>
        <v>Golem</v>
      </c>
      <c r="E3" s="13">
        <f>IFERROR(__xludf.DUMMYFUNCTION("""COMPUTED_VALUE"""),1.0)</f>
        <v>1</v>
      </c>
      <c r="F3" s="15" t="str">
        <f>IFERROR(__xludf.DUMMYFUNCTION("""COMPUTED_VALUE"""),"Starter")</f>
        <v>Starter</v>
      </c>
      <c r="G3" s="13">
        <f>IFERROR(__xludf.DUMMYFUNCTION("""COMPUTED_VALUE"""),1.0)</f>
        <v>1</v>
      </c>
      <c r="H3" s="13">
        <f>IFERROR(__xludf.DUMMYFUNCTION("""COMPUTED_VALUE"""),2.0)</f>
        <v>2</v>
      </c>
      <c r="I3" s="16">
        <f>IFERROR(__xludf.DUMMYFUNCTION("""COMPUTED_VALUE"""),3.0)</f>
        <v>3</v>
      </c>
      <c r="J3" s="16">
        <f>IFERROR(__xludf.DUMMYFUNCTION("""COMPUTED_VALUE"""),7.0)</f>
        <v>7</v>
      </c>
      <c r="K3" s="17" t="str">
        <f>IFERROR(__xludf.DUMMYFUNCTION("""COMPUTED_VALUE"""),"---")</f>
        <v>---</v>
      </c>
      <c r="L3" s="15" t="str">
        <f>IFERROR(__xludf.DUMMYFUNCTION("""COMPUTED_VALUE"""),"---")</f>
        <v>---</v>
      </c>
      <c r="M3" s="18"/>
      <c r="N3" s="18" t="str">
        <f>IFERROR(__xludf.DUMMYFUNCTION("""COMPUTED_VALUE"""),"---")</f>
        <v>---</v>
      </c>
      <c r="O3" s="19" t="str">
        <f>IFERROR(__xludf.DUMMYFUNCTION("""COMPUTED_VALUE"""),"---")</f>
        <v>---</v>
      </c>
      <c r="P3" s="20" t="str">
        <f>IFERROR(__xludf.DUMMYFUNCTION("""COMPUTED_VALUE"""),"---")</f>
        <v>---</v>
      </c>
      <c r="Q3" s="41" t="str">
        <f>IFERROR(__xludf.DUMMYFUNCTION("""COMPUTED_VALUE"""),"---")</f>
        <v>---</v>
      </c>
      <c r="R3" s="22" t="str">
        <f>IFERROR(__xludf.DUMMYFUNCTION("""COMPUTED_VALUE"""),"---")</f>
        <v>---</v>
      </c>
      <c r="S3" s="23"/>
      <c r="T3" s="80">
        <v>44671.0</v>
      </c>
      <c r="U3" s="32" t="s">
        <v>214</v>
      </c>
    </row>
    <row r="4">
      <c r="A4" s="11" t="b">
        <f>IFERROR(__xludf.DUMMYFUNCTION("""COMPUTED_VALUE"""),TRUE)</f>
        <v>1</v>
      </c>
      <c r="B4" s="12" t="b">
        <f>IFERROR(__xludf.DUMMYFUNCTION("""COMPUTED_VALUE"""),FALSE)</f>
        <v>0</v>
      </c>
      <c r="C4" s="13" t="str">
        <f>IFERROR(__xludf.DUMMYFUNCTION("""COMPUTED_VALUE"""),"M")</f>
        <v>M</v>
      </c>
      <c r="D4" s="14" t="str">
        <f>IFERROR(__xludf.DUMMYFUNCTION("""COMPUTED_VALUE"""),"Goblin")</f>
        <v>Goblin</v>
      </c>
      <c r="E4" s="13">
        <f>IFERROR(__xludf.DUMMYFUNCTION("""COMPUTED_VALUE"""),3.0)</f>
        <v>3</v>
      </c>
      <c r="F4" s="15" t="str">
        <f>IFERROR(__xludf.DUMMYFUNCTION("""COMPUTED_VALUE"""),"Starter")</f>
        <v>Starter</v>
      </c>
      <c r="G4" s="13">
        <f>IFERROR(__xludf.DUMMYFUNCTION("""COMPUTED_VALUE"""),1.0)</f>
        <v>1</v>
      </c>
      <c r="H4" s="13">
        <f>IFERROR(__xludf.DUMMYFUNCTION("""COMPUTED_VALUE"""),2.0)</f>
        <v>2</v>
      </c>
      <c r="I4" s="16">
        <f>IFERROR(__xludf.DUMMYFUNCTION("""COMPUTED_VALUE"""),3.0)</f>
        <v>3</v>
      </c>
      <c r="J4" s="16">
        <f>IFERROR(__xludf.DUMMYFUNCTION("""COMPUTED_VALUE"""),1.0)</f>
        <v>1</v>
      </c>
      <c r="K4" s="17" t="str">
        <f>IFERROR(__xludf.DUMMYFUNCTION("""COMPUTED_VALUE"""),"Cannot receive ATK damage.")</f>
        <v>Cannot receive ATK damage.</v>
      </c>
      <c r="L4" s="15" t="str">
        <f>IFERROR(__xludf.DUMMYFUNCTION("""COMPUTED_VALUE"""),"---")</f>
        <v>---</v>
      </c>
      <c r="M4" s="18" t="str">
        <f>IFERROR(__xludf.DUMMYFUNCTION("""COMPUTED_VALUE"""),"---")</f>
        <v>---</v>
      </c>
      <c r="N4" s="18" t="str">
        <f>IFERROR(__xludf.DUMMYFUNCTION("""COMPUTED_VALUE"""),"---")</f>
        <v>---</v>
      </c>
      <c r="O4" s="19" t="str">
        <f>IFERROR(__xludf.DUMMYFUNCTION("""COMPUTED_VALUE"""),"---")</f>
        <v>---</v>
      </c>
      <c r="P4" s="20" t="str">
        <f>IFERROR(__xludf.DUMMYFUNCTION("""COMPUTED_VALUE"""),"(No ATK Dmg)")</f>
        <v>(No ATK Dmg)</v>
      </c>
      <c r="Q4" s="41" t="str">
        <f>IFERROR(__xludf.DUMMYFUNCTION("""COMPUTED_VALUE"""),"(No ATK Dmg): This unit's HP can never be reduced. Note that this unit can be defeated through all other means.")</f>
        <v>(No ATK Dmg): This unit's HP can never be reduced. Note that this unit can be defeated through all other means.</v>
      </c>
      <c r="R4" s="22" t="str">
        <f>IFERROR(__xludf.DUMMYFUNCTION("""COMPUTED_VALUE"""),"---")</f>
        <v>---</v>
      </c>
      <c r="S4" s="23"/>
      <c r="T4" s="80"/>
      <c r="U4" s="32"/>
    </row>
    <row r="5">
      <c r="A5" s="11" t="b">
        <f>IFERROR(__xludf.DUMMYFUNCTION("""COMPUTED_VALUE"""),TRUE)</f>
        <v>1</v>
      </c>
      <c r="B5" s="12" t="b">
        <f>IFERROR(__xludf.DUMMYFUNCTION("""COMPUTED_VALUE"""),FALSE)</f>
        <v>0</v>
      </c>
      <c r="C5" s="13" t="str">
        <f>IFERROR(__xludf.DUMMYFUNCTION("""COMPUTED_VALUE"""),"M")</f>
        <v>M</v>
      </c>
      <c r="D5" s="14" t="str">
        <f>IFERROR(__xludf.DUMMYFUNCTION("""COMPUTED_VALUE"""),"Skeleton")</f>
        <v>Skeleton</v>
      </c>
      <c r="E5" s="13">
        <f>IFERROR(__xludf.DUMMYFUNCTION("""COMPUTED_VALUE"""),3.0)</f>
        <v>3</v>
      </c>
      <c r="F5" s="15" t="str">
        <f>IFERROR(__xludf.DUMMYFUNCTION("""COMPUTED_VALUE"""),"Starter")</f>
        <v>Starter</v>
      </c>
      <c r="G5" s="13">
        <f>IFERROR(__xludf.DUMMYFUNCTION("""COMPUTED_VALUE"""),1.0)</f>
        <v>1</v>
      </c>
      <c r="H5" s="13">
        <f>IFERROR(__xludf.DUMMYFUNCTION("""COMPUTED_VALUE"""),2.0)</f>
        <v>2</v>
      </c>
      <c r="I5" s="16">
        <f>IFERROR(__xludf.DUMMYFUNCTION("""COMPUTED_VALUE"""),3.0)</f>
        <v>3</v>
      </c>
      <c r="J5" s="16" t="str">
        <f>IFERROR(__xludf.DUMMYFUNCTION("""COMPUTED_VALUE"""),"X (3)")</f>
        <v>X (3)</v>
      </c>
      <c r="K5" s="25" t="str">
        <f>IFERROR(__xludf.DUMMYFUNCTION("""COMPUTED_VALUE"""),"X = The HP of the last enemy faced.")</f>
        <v>X = The HP of the last enemy faced.</v>
      </c>
      <c r="L5" s="15" t="str">
        <f>IFERROR(__xludf.DUMMYFUNCTION("""COMPUTED_VALUE"""),"(HP of last enemy spun)")</f>
        <v>(HP of last enemy spun)</v>
      </c>
      <c r="M5" s="18" t="str">
        <f>IFERROR(__xludf.DUMMYFUNCTION("""COMPUTED_VALUE"""),"&gt;On Spin")</f>
        <v>&gt;On Spin</v>
      </c>
      <c r="N5" s="18" t="str">
        <f>IFERROR(__xludf.DUMMYFUNCTION("""COMPUTED_VALUE"""),"---")</f>
        <v>---</v>
      </c>
      <c r="O5" s="19" t="str">
        <f>IFERROR(__xludf.DUMMYFUNCTION("""COMPUTED_VALUE"""),"---")</f>
        <v>---</v>
      </c>
      <c r="P5" s="20" t="str">
        <f>IFERROR(__xludf.DUMMYFUNCTION("""COMPUTED_VALUE"""),"(Last Mob HP)")</f>
        <v>(Last Mob HP)</v>
      </c>
      <c r="Q5" s="41" t="str">
        <f>IFERROR(__xludf.DUMMYFUNCTION("""COMPUTED_VALUE"""),"Last Mob HP: On Spin, immediately store the enemy's HP in this value. Overwrite this value each time On Spin occurs.")</f>
        <v>Last Mob HP: On Spin, immediately store the enemy's HP in this value. Overwrite this value each time On Spin occurs.</v>
      </c>
      <c r="R5" s="26" t="str">
        <f>IFERROR(__xludf.DUMMYFUNCTION("""COMPUTED_VALUE"""),"Edge Case: If this is the first unit faced, set HP to 3.")</f>
        <v>Edge Case: If this is the first unit faced, set HP to 3.</v>
      </c>
      <c r="S5" s="23"/>
      <c r="T5" s="80"/>
      <c r="U5" s="24"/>
    </row>
    <row r="6">
      <c r="A6" s="11" t="b">
        <f>IFERROR(__xludf.DUMMYFUNCTION("""COMPUTED_VALUE"""),TRUE)</f>
        <v>1</v>
      </c>
      <c r="B6" s="12" t="b">
        <f>IFERROR(__xludf.DUMMYFUNCTION("""COMPUTED_VALUE"""),FALSE)</f>
        <v>0</v>
      </c>
      <c r="C6" s="13" t="str">
        <f>IFERROR(__xludf.DUMMYFUNCTION("""COMPUTED_VALUE"""),"M")</f>
        <v>M</v>
      </c>
      <c r="D6" s="14" t="str">
        <f>IFERROR(__xludf.DUMMYFUNCTION("""COMPUTED_VALUE"""),"Hornet Swarm")</f>
        <v>Hornet Swarm</v>
      </c>
      <c r="E6" s="13">
        <f>IFERROR(__xludf.DUMMYFUNCTION("""COMPUTED_VALUE"""),3.0)</f>
        <v>3</v>
      </c>
      <c r="F6" s="15" t="str">
        <f>IFERROR(__xludf.DUMMYFUNCTION("""COMPUTED_VALUE"""),"Starter")</f>
        <v>Starter</v>
      </c>
      <c r="G6" s="13">
        <f>IFERROR(__xludf.DUMMYFUNCTION("""COMPUTED_VALUE"""),1.0)</f>
        <v>1</v>
      </c>
      <c r="H6" s="13">
        <f>IFERROR(__xludf.DUMMYFUNCTION("""COMPUTED_VALUE"""),2.0)</f>
        <v>2</v>
      </c>
      <c r="I6" s="16">
        <f>IFERROR(__xludf.DUMMYFUNCTION("""COMPUTED_VALUE"""),2.0)</f>
        <v>2</v>
      </c>
      <c r="J6" s="16">
        <f>IFERROR(__xludf.DUMMYFUNCTION("""COMPUTED_VALUE"""),3.0)</f>
        <v>3</v>
      </c>
      <c r="K6" s="17" t="str">
        <f>IFERROR(__xludf.DUMMYFUNCTION("""COMPUTED_VALUE"""),"This unit attacks twice.")</f>
        <v>This unit attacks twice.</v>
      </c>
      <c r="L6" s="15" t="str">
        <f>IFERROR(__xludf.DUMMYFUNCTION("""COMPUTED_VALUE"""),"---")</f>
        <v>---</v>
      </c>
      <c r="M6" s="18" t="str">
        <f>IFERROR(__xludf.DUMMYFUNCTION("""COMPUTED_VALUE"""),"---")</f>
        <v>---</v>
      </c>
      <c r="N6" s="18" t="str">
        <f>IFERROR(__xludf.DUMMYFUNCTION("""COMPUTED_VALUE"""),"---")</f>
        <v>---</v>
      </c>
      <c r="O6" s="19" t="str">
        <f>IFERROR(__xludf.DUMMYFUNCTION("""COMPUTED_VALUE"""),"---")</f>
        <v>---</v>
      </c>
      <c r="P6" s="20" t="str">
        <f>IFERROR(__xludf.DUMMYFUNCTION("""COMPUTED_VALUE"""),"[Attacks Twice]")</f>
        <v>[Attacks Twice]</v>
      </c>
      <c r="Q6" s="41" t="str">
        <f>IFERROR(__xludf.DUMMYFUNCTION("""COMPUTED_VALUE"""),"On Resolve Combat, takes its current ATK and deals dmg to the player two times.")</f>
        <v>On Resolve Combat, takes its current ATK and deals dmg to the player two times.</v>
      </c>
      <c r="R6" s="28"/>
      <c r="S6" s="29"/>
      <c r="T6" s="80"/>
      <c r="U6" s="30"/>
    </row>
    <row r="7">
      <c r="A7" s="11" t="b">
        <f>IFERROR(__xludf.DUMMYFUNCTION("""COMPUTED_VALUE"""),TRUE)</f>
        <v>1</v>
      </c>
      <c r="B7" s="12" t="b">
        <f>IFERROR(__xludf.DUMMYFUNCTION("""COMPUTED_VALUE"""),FALSE)</f>
        <v>0</v>
      </c>
      <c r="C7" s="13" t="str">
        <f>IFERROR(__xludf.DUMMYFUNCTION("""COMPUTED_VALUE"""),"M")</f>
        <v>M</v>
      </c>
      <c r="D7" s="14" t="str">
        <f>IFERROR(__xludf.DUMMYFUNCTION("""COMPUTED_VALUE"""),"Lich")</f>
        <v>Lich</v>
      </c>
      <c r="E7" s="13">
        <f>IFERROR(__xludf.DUMMYFUNCTION("""COMPUTED_VALUE"""),4.0)</f>
        <v>4</v>
      </c>
      <c r="F7" s="15" t="str">
        <f>IFERROR(__xludf.DUMMYFUNCTION("""COMPUTED_VALUE"""),"Uncommon")</f>
        <v>Uncommon</v>
      </c>
      <c r="G7" s="13">
        <f>IFERROR(__xludf.DUMMYFUNCTION("""COMPUTED_VALUE"""),1.0)</f>
        <v>1</v>
      </c>
      <c r="H7" s="13">
        <f>IFERROR(__xludf.DUMMYFUNCTION("""COMPUTED_VALUE"""),2.0)</f>
        <v>2</v>
      </c>
      <c r="I7" s="16">
        <f>IFERROR(__xludf.DUMMYFUNCTION("""COMPUTED_VALUE"""),3.0)</f>
        <v>3</v>
      </c>
      <c r="J7" s="16">
        <f>IFERROR(__xludf.DUMMYFUNCTION("""COMPUTED_VALUE"""),1.0)</f>
        <v>1</v>
      </c>
      <c r="K7" s="17" t="str">
        <f>IFERROR(__xludf.DUMMYFUNCTION("""COMPUTED_VALUE"""),"Adds 1 to the HP of neighboring Monsters.")</f>
        <v>Adds 1 to the HP of neighboring Monsters.</v>
      </c>
      <c r="L7" s="15" t="str">
        <f>IFERROR(__xludf.DUMMYFUNCTION("""COMPUTED_VALUE"""),"---")</f>
        <v>---</v>
      </c>
      <c r="M7" s="18" t="str">
        <f>IFERROR(__xludf.DUMMYFUNCTION("""COMPUTED_VALUE"""),"---")</f>
        <v>---</v>
      </c>
      <c r="N7" s="18" t="str">
        <f>IFERROR(__xludf.DUMMYFUNCTION("""COMPUTED_VALUE"""),"Neighboring HP")</f>
        <v>Neighboring HP</v>
      </c>
      <c r="O7" s="19" t="str">
        <f>IFERROR(__xludf.DUMMYFUNCTION("""COMPUTED_VALUE"""),"&gt;On Remove Slice")</f>
        <v>&gt;On Remove Slice</v>
      </c>
      <c r="P7" s="34" t="str">
        <f>IFERROR(__xludf.DUMMYFUNCTION("""COMPUTED_VALUE"""),"---")</f>
        <v>---</v>
      </c>
      <c r="Q7" s="41" t="str">
        <f>IFERROR(__xludf.DUMMYFUNCTION("""COMPUTED_VALUE"""),"(Neighboring HP): This addition to HP will always take place after all other calculations and modifiers have been added.")</f>
        <v>(Neighboring HP): This addition to HP will always take place after all other calculations and modifiers have been added.</v>
      </c>
      <c r="R7" s="22" t="str">
        <f>IFERROR(__xludf.DUMMYFUNCTION("""COMPUTED_VALUE"""),"---")</f>
        <v>---</v>
      </c>
      <c r="S7" s="23"/>
      <c r="T7" s="80"/>
      <c r="U7" s="24"/>
    </row>
    <row r="8">
      <c r="A8" s="11" t="b">
        <f>IFERROR(__xludf.DUMMYFUNCTION("""COMPUTED_VALUE"""),TRUE)</f>
        <v>1</v>
      </c>
      <c r="B8" s="12" t="b">
        <f>IFERROR(__xludf.DUMMYFUNCTION("""COMPUTED_VALUE"""),FALSE)</f>
        <v>0</v>
      </c>
      <c r="C8" s="13" t="str">
        <f>IFERROR(__xludf.DUMMYFUNCTION("""COMPUTED_VALUE"""),"M")</f>
        <v>M</v>
      </c>
      <c r="D8" s="14" t="str">
        <f>IFERROR(__xludf.DUMMYFUNCTION("""COMPUTED_VALUE"""),"Ogre")</f>
        <v>Ogre</v>
      </c>
      <c r="E8" s="13">
        <f>IFERROR(__xludf.DUMMYFUNCTION("""COMPUTED_VALUE"""),1.0)</f>
        <v>1</v>
      </c>
      <c r="F8" s="15" t="str">
        <f>IFERROR(__xludf.DUMMYFUNCTION("""COMPUTED_VALUE"""),"Starter")</f>
        <v>Starter</v>
      </c>
      <c r="G8" s="13">
        <f>IFERROR(__xludf.DUMMYFUNCTION("""COMPUTED_VALUE"""),2.0)</f>
        <v>2</v>
      </c>
      <c r="H8" s="13">
        <f>IFERROR(__xludf.DUMMYFUNCTION("""COMPUTED_VALUE"""),2.0)</f>
        <v>2</v>
      </c>
      <c r="I8" s="16">
        <f>IFERROR(__xludf.DUMMYFUNCTION("""COMPUTED_VALUE"""),4.0)</f>
        <v>4</v>
      </c>
      <c r="J8" s="16" t="str">
        <f>IFERROR(__xludf.DUMMYFUNCTION("""COMPUTED_VALUE"""),"X")</f>
        <v>X</v>
      </c>
      <c r="K8" s="17" t="str">
        <f>IFERROR(__xludf.DUMMYFUNCTION("""COMPUTED_VALUE"""),"X = Your HP at the start of combat.")</f>
        <v>X = Your HP at the start of combat.</v>
      </c>
      <c r="L8" s="15" t="str">
        <f>IFERROR(__xludf.DUMMYFUNCTION("""COMPUTED_VALUE"""),"(HP)")</f>
        <v>(HP)</v>
      </c>
      <c r="M8" s="18" t="str">
        <f>IFERROR(__xludf.DUMMYFUNCTION("""COMPUTED_VALUE"""),"&gt;On Spin")</f>
        <v>&gt;On Spin</v>
      </c>
      <c r="N8" s="18" t="str">
        <f>IFERROR(__xludf.DUMMYFUNCTION("""COMPUTED_VALUE"""),"---")</f>
        <v>---</v>
      </c>
      <c r="O8" s="19" t="str">
        <f>IFERROR(__xludf.DUMMYFUNCTION("""COMPUTED_VALUE"""),"---")</f>
        <v>---</v>
      </c>
      <c r="P8" s="34" t="str">
        <f>IFERROR(__xludf.DUMMYFUNCTION("""COMPUTED_VALUE"""),"---")</f>
        <v>---</v>
      </c>
      <c r="Q8" s="41" t="str">
        <f>IFERROR(__xludf.DUMMYFUNCTION("""COMPUTED_VALUE"""),"---")</f>
        <v>---</v>
      </c>
      <c r="R8" s="22" t="str">
        <f>IFERROR(__xludf.DUMMYFUNCTION("""COMPUTED_VALUE"""),"---")</f>
        <v>---</v>
      </c>
      <c r="S8" s="23"/>
      <c r="T8" s="81">
        <v>44675.0</v>
      </c>
      <c r="U8" s="82" t="s">
        <v>215</v>
      </c>
    </row>
    <row r="9">
      <c r="A9" s="11" t="b">
        <f>IFERROR(__xludf.DUMMYFUNCTION("""COMPUTED_VALUE"""),TRUE)</f>
        <v>1</v>
      </c>
      <c r="B9" s="12" t="b">
        <f>IFERROR(__xludf.DUMMYFUNCTION("""COMPUTED_VALUE"""),FALSE)</f>
        <v>0</v>
      </c>
      <c r="C9" s="13" t="str">
        <f>IFERROR(__xludf.DUMMYFUNCTION("""COMPUTED_VALUE"""),"M")</f>
        <v>M</v>
      </c>
      <c r="D9" s="14" t="str">
        <f>IFERROR(__xludf.DUMMYFUNCTION("""COMPUTED_VALUE"""),"Berserker")</f>
        <v>Berserker</v>
      </c>
      <c r="E9" s="13">
        <f>IFERROR(__xludf.DUMMYFUNCTION("""COMPUTED_VALUE"""),2.0)</f>
        <v>2</v>
      </c>
      <c r="F9" s="15" t="str">
        <f>IFERROR(__xludf.DUMMYFUNCTION("""COMPUTED_VALUE"""),"Starter")</f>
        <v>Starter</v>
      </c>
      <c r="G9" s="13">
        <f>IFERROR(__xludf.DUMMYFUNCTION("""COMPUTED_VALUE"""),2.0)</f>
        <v>2</v>
      </c>
      <c r="H9" s="13">
        <f>IFERROR(__xludf.DUMMYFUNCTION("""COMPUTED_VALUE"""),1.0)</f>
        <v>1</v>
      </c>
      <c r="I9" s="16" t="str">
        <f>IFERROR(__xludf.DUMMYFUNCTION("""COMPUTED_VALUE"""),"(1+X)")</f>
        <v>(1+X)</v>
      </c>
      <c r="J9" s="16" t="str">
        <f>IFERROR(__xludf.DUMMYFUNCTION("""COMPUTED_VALUE"""),"(2+X)")</f>
        <v>(2+X)</v>
      </c>
      <c r="K9" s="17" t="str">
        <f>IFERROR(__xludf.DUMMYFUNCTION("""COMPUTED_VALUE"""),"X = The number of monsters you have defeated.")</f>
        <v>X = The number of monsters you have defeated.</v>
      </c>
      <c r="L9" s="15" t="str">
        <f>IFERROR(__xludf.DUMMYFUNCTION("""COMPUTED_VALUE"""),"(# Mob Defeated)")</f>
        <v>(# Mob Defeated)</v>
      </c>
      <c r="M9" s="18" t="str">
        <f>IFERROR(__xludf.DUMMYFUNCTION("""COMPUTED_VALUE"""),"&gt;On Remove Slice")</f>
        <v>&gt;On Remove Slice</v>
      </c>
      <c r="N9" s="18" t="str">
        <f>IFERROR(__xludf.DUMMYFUNCTION("""COMPUTED_VALUE"""),"---")</f>
        <v>---</v>
      </c>
      <c r="O9" s="19" t="str">
        <f>IFERROR(__xludf.DUMMYFUNCTION("""COMPUTED_VALUE"""),"---")</f>
        <v>---</v>
      </c>
      <c r="P9" s="19" t="str">
        <f>IFERROR(__xludf.DUMMYFUNCTION("""COMPUTED_VALUE"""),"(# Mobs Defeated)")</f>
        <v>(# Mobs Defeated)</v>
      </c>
      <c r="Q9" s="41" t="str">
        <f>IFERROR(__xludf.DUMMYFUNCTION("""COMPUTED_VALUE"""),"(# Mobs Defeated): Every time a slice is removed after the initial drafting phase, this increments.")</f>
        <v>(# Mobs Defeated): Every time a slice is removed after the initial drafting phase, this increments.</v>
      </c>
      <c r="R9" s="26" t="str">
        <f>IFERROR(__xludf.DUMMYFUNCTION("""COMPUTED_VALUE"""),"---")</f>
        <v>---</v>
      </c>
      <c r="S9" s="31"/>
      <c r="T9" s="80">
        <v>44679.0</v>
      </c>
      <c r="U9" s="32" t="s">
        <v>216</v>
      </c>
    </row>
    <row r="10">
      <c r="A10" s="11" t="b">
        <f>IFERROR(__xludf.DUMMYFUNCTION("""COMPUTED_VALUE"""),TRUE)</f>
        <v>1</v>
      </c>
      <c r="B10" s="12" t="b">
        <f>IFERROR(__xludf.DUMMYFUNCTION("""COMPUTED_VALUE"""),FALSE)</f>
        <v>0</v>
      </c>
      <c r="C10" s="13" t="str">
        <f>IFERROR(__xludf.DUMMYFUNCTION("""COMPUTED_VALUE"""),"M")</f>
        <v>M</v>
      </c>
      <c r="D10" s="14" t="str">
        <f>IFERROR(__xludf.DUMMYFUNCTION("""COMPUTED_VALUE"""),"Dire Wolf")</f>
        <v>Dire Wolf</v>
      </c>
      <c r="E10" s="36">
        <f>IFERROR(__xludf.DUMMYFUNCTION("""COMPUTED_VALUE"""),2.0)</f>
        <v>2</v>
      </c>
      <c r="F10" s="15" t="str">
        <f>IFERROR(__xludf.DUMMYFUNCTION("""COMPUTED_VALUE"""),"Starter")</f>
        <v>Starter</v>
      </c>
      <c r="G10" s="36">
        <f>IFERROR(__xludf.DUMMYFUNCTION("""COMPUTED_VALUE"""),2.0)</f>
        <v>2</v>
      </c>
      <c r="H10" s="36">
        <f>IFERROR(__xludf.DUMMYFUNCTION("""COMPUTED_VALUE"""),2.0)</f>
        <v>2</v>
      </c>
      <c r="I10" s="37" t="str">
        <f>IFERROR(__xludf.DUMMYFUNCTION("""COMPUTED_VALUE"""),"X")</f>
        <v>X</v>
      </c>
      <c r="J10" s="37">
        <f>IFERROR(__xludf.DUMMYFUNCTION("""COMPUTED_VALUE"""),3.0)</f>
        <v>3</v>
      </c>
      <c r="K10" s="38" t="str">
        <f>IFERROR(__xludf.DUMMYFUNCTION("""COMPUTED_VALUE"""),"X = Your HP at the start of combat.")</f>
        <v>X = Your HP at the start of combat.</v>
      </c>
      <c r="L10" s="15" t="str">
        <f>IFERROR(__xludf.DUMMYFUNCTION("""COMPUTED_VALUE"""),"(HP)")</f>
        <v>(HP)</v>
      </c>
      <c r="M10" s="18" t="str">
        <f>IFERROR(__xludf.DUMMYFUNCTION("""COMPUTED_VALUE"""),"&gt;On Spin")</f>
        <v>&gt;On Spin</v>
      </c>
      <c r="N10" s="18" t="str">
        <f>IFERROR(__xludf.DUMMYFUNCTION("""COMPUTED_VALUE"""),"---")</f>
        <v>---</v>
      </c>
      <c r="O10" s="19" t="str">
        <f>IFERROR(__xludf.DUMMYFUNCTION("""COMPUTED_VALUE"""),"---")</f>
        <v>---</v>
      </c>
      <c r="P10" s="20" t="str">
        <f>IFERROR(__xludf.DUMMYFUNCTION("""COMPUTED_VALUE"""),"---")</f>
        <v>---</v>
      </c>
      <c r="Q10" s="41" t="str">
        <f>IFERROR(__xludf.DUMMYFUNCTION("""COMPUTED_VALUE"""),"---")</f>
        <v>---</v>
      </c>
      <c r="R10" s="22" t="str">
        <f>IFERROR(__xludf.DUMMYFUNCTION("""COMPUTED_VALUE"""),"---")</f>
        <v>---</v>
      </c>
      <c r="S10" s="23"/>
      <c r="T10" s="80"/>
      <c r="U10" s="32"/>
    </row>
    <row r="11">
      <c r="A11" s="11" t="b">
        <f>IFERROR(__xludf.DUMMYFUNCTION("""COMPUTED_VALUE"""),TRUE)</f>
        <v>1</v>
      </c>
      <c r="B11" s="12" t="b">
        <f>IFERROR(__xludf.DUMMYFUNCTION("""COMPUTED_VALUE"""),FALSE)</f>
        <v>0</v>
      </c>
      <c r="C11" s="13" t="str">
        <f>IFERROR(__xludf.DUMMYFUNCTION("""COMPUTED_VALUE"""),"M")</f>
        <v>M</v>
      </c>
      <c r="D11" s="14" t="str">
        <f>IFERROR(__xludf.DUMMYFUNCTION("""COMPUTED_VALUE"""),"Bandit")</f>
        <v>Bandit</v>
      </c>
      <c r="E11" s="13">
        <f>IFERROR(__xludf.DUMMYFUNCTION("""COMPUTED_VALUE"""),2.0)</f>
        <v>2</v>
      </c>
      <c r="F11" s="15" t="str">
        <f>IFERROR(__xludf.DUMMYFUNCTION("""COMPUTED_VALUE"""),"Uncommon")</f>
        <v>Uncommon</v>
      </c>
      <c r="G11" s="13">
        <f>IFERROR(__xludf.DUMMYFUNCTION("""COMPUTED_VALUE"""),2.0)</f>
        <v>2</v>
      </c>
      <c r="H11" s="13">
        <f>IFERROR(__xludf.DUMMYFUNCTION("""COMPUTED_VALUE"""),2.0)</f>
        <v>2</v>
      </c>
      <c r="I11" s="16" t="str">
        <f>IFERROR(__xludf.DUMMYFUNCTION("""COMPUTED_VALUE"""),"X")</f>
        <v>X</v>
      </c>
      <c r="J11" s="16">
        <f>IFERROR(__xludf.DUMMYFUNCTION("""COMPUTED_VALUE"""),3.0)</f>
        <v>3</v>
      </c>
      <c r="K11" s="17" t="str">
        <f>IFERROR(__xludf.DUMMYFUNCTION("""COMPUTED_VALUE"""),"X = The number of items you have at the start of combat.")</f>
        <v>X = The number of items you have at the start of combat.</v>
      </c>
      <c r="L11" s="15" t="str">
        <f>IFERROR(__xludf.DUMMYFUNCTION("""COMPUTED_VALUE"""),"(# Items)")</f>
        <v>(# Items)</v>
      </c>
      <c r="M11" s="18" t="str">
        <f>IFERROR(__xludf.DUMMYFUNCTION("""COMPUTED_VALUE"""),"&gt;On Draft
&gt;On Spin")</f>
        <v>&gt;On Draft
&gt;On Spin</v>
      </c>
      <c r="N11" s="18" t="str">
        <f>IFERROR(__xludf.DUMMYFUNCTION("""COMPUTED_VALUE"""),"---")</f>
        <v>---</v>
      </c>
      <c r="O11" s="19" t="str">
        <f>IFERROR(__xludf.DUMMYFUNCTION("""COMPUTED_VALUE"""),"---")</f>
        <v>---</v>
      </c>
      <c r="P11" s="20" t="str">
        <f>IFERROR(__xludf.DUMMYFUNCTION("""COMPUTED_VALUE"""),"---")</f>
        <v>---</v>
      </c>
      <c r="Q11" s="41" t="str">
        <f>IFERROR(__xludf.DUMMYFUNCTION("""COMPUTED_VALUE"""),"---")</f>
        <v>---</v>
      </c>
      <c r="R11" s="22" t="str">
        <f>IFERROR(__xludf.DUMMYFUNCTION("""COMPUTED_VALUE"""),"---")</f>
        <v>---</v>
      </c>
      <c r="S11" s="23"/>
      <c r="T11" s="80"/>
      <c r="U11" s="24"/>
    </row>
    <row r="12">
      <c r="A12" s="11" t="b">
        <f>IFERROR(__xludf.DUMMYFUNCTION("""COMPUTED_VALUE"""),FALSE)</f>
        <v>0</v>
      </c>
      <c r="B12" s="12" t="b">
        <f>IFERROR(__xludf.DUMMYFUNCTION("""COMPUTED_VALUE"""),FALSE)</f>
        <v>0</v>
      </c>
      <c r="C12" s="13" t="str">
        <f>IFERROR(__xludf.DUMMYFUNCTION("""COMPUTED_VALUE"""),"M")</f>
        <v>M</v>
      </c>
      <c r="D12" s="14" t="str">
        <f>IFERROR(__xludf.DUMMYFUNCTION("""COMPUTED_VALUE"""),"Leech League")</f>
        <v>Leech League</v>
      </c>
      <c r="E12" s="13">
        <f>IFERROR(__xludf.DUMMYFUNCTION("""COMPUTED_VALUE"""),2.0)</f>
        <v>2</v>
      </c>
      <c r="F12" s="15" t="str">
        <f>IFERROR(__xludf.DUMMYFUNCTION("""COMPUTED_VALUE"""),"Uncommon")</f>
        <v>Uncommon</v>
      </c>
      <c r="G12" s="13">
        <f>IFERROR(__xludf.DUMMYFUNCTION("""COMPUTED_VALUE"""),2.0)</f>
        <v>2</v>
      </c>
      <c r="H12" s="13">
        <f>IFERROR(__xludf.DUMMYFUNCTION("""COMPUTED_VALUE"""),1.0)</f>
        <v>1</v>
      </c>
      <c r="I12" s="16">
        <f>IFERROR(__xludf.DUMMYFUNCTION("""COMPUTED_VALUE"""),4.0)</f>
        <v>4</v>
      </c>
      <c r="J12" s="16" t="str">
        <f>IFERROR(__xludf.DUMMYFUNCTION("""COMPUTED_VALUE"""),"(1+X)")</f>
        <v>(1+X)</v>
      </c>
      <c r="K12" s="17" t="str">
        <f>IFERROR(__xludf.DUMMYFUNCTION("""COMPUTED_VALUE"""),"X = The number of monsters still in play.")</f>
        <v>X = The number of monsters still in play.</v>
      </c>
      <c r="L12" s="15" t="str">
        <f>IFERROR(__xludf.DUMMYFUNCTION("""COMPUTED_VALUE"""),"(# mobs)")</f>
        <v>(# mobs)</v>
      </c>
      <c r="M12" s="18" t="str">
        <f>IFERROR(__xludf.DUMMYFUNCTION("""COMPUTED_VALUE"""),"&gt;On Remove Slice")</f>
        <v>&gt;On Remove Slice</v>
      </c>
      <c r="N12" s="18" t="str">
        <f>IFERROR(__xludf.DUMMYFUNCTION("""COMPUTED_VALUE"""),"---")</f>
        <v>---</v>
      </c>
      <c r="O12" s="19" t="str">
        <f>IFERROR(__xludf.DUMMYFUNCTION("""COMPUTED_VALUE"""),"---")</f>
        <v>---</v>
      </c>
      <c r="P12" s="19" t="str">
        <f>IFERROR(__xludf.DUMMYFUNCTION("""COMPUTED_VALUE"""),"---")</f>
        <v>---</v>
      </c>
      <c r="Q12" s="41" t="str">
        <f>IFERROR(__xludf.DUMMYFUNCTION("""COMPUTED_VALUE"""),"---")</f>
        <v>---</v>
      </c>
      <c r="R12" s="41" t="str">
        <f>IFERROR(__xludf.DUMMYFUNCTION("""COMPUTED_VALUE"""),"---")</f>
        <v>---</v>
      </c>
      <c r="S12" s="23"/>
      <c r="T12" s="81">
        <v>44671.0</v>
      </c>
      <c r="U12" s="82" t="s">
        <v>217</v>
      </c>
    </row>
    <row r="13">
      <c r="A13" s="11" t="b">
        <f>IFERROR(__xludf.DUMMYFUNCTION("""COMPUTED_VALUE"""),TRUE)</f>
        <v>1</v>
      </c>
      <c r="B13" s="12" t="b">
        <f>IFERROR(__xludf.DUMMYFUNCTION("""COMPUTED_VALUE"""),FALSE)</f>
        <v>0</v>
      </c>
      <c r="C13" s="13" t="str">
        <f>IFERROR(__xludf.DUMMYFUNCTION("""COMPUTED_VALUE"""),"M")</f>
        <v>M</v>
      </c>
      <c r="D13" s="14" t="str">
        <f>IFERROR(__xludf.DUMMYFUNCTION("""COMPUTED_VALUE"""),"Wraith")</f>
        <v>Wraith</v>
      </c>
      <c r="E13" s="13">
        <f>IFERROR(__xludf.DUMMYFUNCTION("""COMPUTED_VALUE"""),3.0)</f>
        <v>3</v>
      </c>
      <c r="F13" s="15" t="str">
        <f>IFERROR(__xludf.DUMMYFUNCTION("""COMPUTED_VALUE"""),"Uncommon")</f>
        <v>Uncommon</v>
      </c>
      <c r="G13" s="13">
        <f>IFERROR(__xludf.DUMMYFUNCTION("""COMPUTED_VALUE"""),2.0)</f>
        <v>2</v>
      </c>
      <c r="H13" s="13">
        <f>IFERROR(__xludf.DUMMYFUNCTION("""COMPUTED_VALUE"""),2.0)</f>
        <v>2</v>
      </c>
      <c r="I13" s="16">
        <f>IFERROR(__xludf.DUMMYFUNCTION("""COMPUTED_VALUE"""),3.0)</f>
        <v>3</v>
      </c>
      <c r="J13" s="16">
        <f>IFERROR(__xludf.DUMMYFUNCTION("""COMPUTED_VALUE"""),3.0)</f>
        <v>3</v>
      </c>
      <c r="K13" s="17" t="str">
        <f>IFERROR(__xludf.DUMMYFUNCTION("""COMPUTED_VALUE"""),"If a neighbor has higher ATK, then this unit's ATK will match it.")</f>
        <v>If a neighbor has higher ATK, then this unit's ATK will match it.</v>
      </c>
      <c r="L13" s="15" t="str">
        <f>IFERROR(__xludf.DUMMYFUNCTION("""COMPUTED_VALUE"""),"[Neighbors' highest ATK]")</f>
        <v>[Neighbors' highest ATK]</v>
      </c>
      <c r="M13" s="18" t="str">
        <f>IFERROR(__xludf.DUMMYFUNCTION("""COMPUTED_VALUE"""),"&gt;On Remove Slice")</f>
        <v>&gt;On Remove Slice</v>
      </c>
      <c r="N13" s="18" t="str">
        <f>IFERROR(__xludf.DUMMYFUNCTION("""COMPUTED_VALUE"""),"Its own ATK")</f>
        <v>Its own ATK</v>
      </c>
      <c r="O13" s="19" t="str">
        <f>IFERROR(__xludf.DUMMYFUNCTION("""COMPUTED_VALUE"""),"&gt;On Remove Slice")</f>
        <v>&gt;On Remove Slice</v>
      </c>
      <c r="P13" s="34" t="str">
        <f>IFERROR(__xludf.DUMMYFUNCTION("""COMPUTED_VALUE"""),"---")</f>
        <v>---</v>
      </c>
      <c r="Q13" s="41" t="str">
        <f>IFERROR(__xludf.DUMMYFUNCTION("""COMPUTED_VALUE"""),"Resolve Order: This is the only function whose order of operations matters.
Wraith will check the ATK of others (with their complete modifiers, if any) and ""match"" higher ATK if applicable, and then will receive the ATK increase from Captain.")</f>
        <v>Resolve Order: This is the only function whose order of operations matters.
Wraith will check the ATK of others (with their complete modifiers, if any) and "match" higher ATK if applicable, and then will receive the ATK increase from Captain.</v>
      </c>
      <c r="R13" s="83" t="str">
        <f>IFERROR(__xludf.DUMMYFUNCTION("""COMPUTED_VALUE"""),"---")</f>
        <v>---</v>
      </c>
      <c r="S13" s="31"/>
      <c r="T13" s="80">
        <v>44675.0</v>
      </c>
      <c r="U13" s="32" t="s">
        <v>218</v>
      </c>
    </row>
    <row r="14">
      <c r="A14" s="11" t="b">
        <f>IFERROR(__xludf.DUMMYFUNCTION("""COMPUTED_VALUE"""),FALSE)</f>
        <v>0</v>
      </c>
      <c r="B14" s="12" t="b">
        <f>IFERROR(__xludf.DUMMYFUNCTION("""COMPUTED_VALUE"""),FALSE)</f>
        <v>0</v>
      </c>
      <c r="C14" s="13" t="str">
        <f>IFERROR(__xludf.DUMMYFUNCTION("""COMPUTED_VALUE"""),"M")</f>
        <v>M</v>
      </c>
      <c r="D14" s="14" t="str">
        <f>IFERROR(__xludf.DUMMYFUNCTION("""COMPUTED_VALUE"""),"Mimic")</f>
        <v>Mimic</v>
      </c>
      <c r="E14" s="13">
        <f>IFERROR(__xludf.DUMMYFUNCTION("""COMPUTED_VALUE"""),4.0)</f>
        <v>4</v>
      </c>
      <c r="F14" s="15" t="str">
        <f>IFERROR(__xludf.DUMMYFUNCTION("""COMPUTED_VALUE"""),"Uncommon")</f>
        <v>Uncommon</v>
      </c>
      <c r="G14" s="13">
        <f>IFERROR(__xludf.DUMMYFUNCTION("""COMPUTED_VALUE"""),2.0)</f>
        <v>2</v>
      </c>
      <c r="H14" s="13">
        <f>IFERROR(__xludf.DUMMYFUNCTION("""COMPUTED_VALUE"""),1.0)</f>
        <v>1</v>
      </c>
      <c r="I14" s="16">
        <f>IFERROR(__xludf.DUMMYFUNCTION("""COMPUTED_VALUE"""),4.0)</f>
        <v>4</v>
      </c>
      <c r="J14" s="16">
        <f>IFERROR(__xludf.DUMMYFUNCTION("""COMPUTED_VALUE"""),5.0)</f>
        <v>5</v>
      </c>
      <c r="K14" s="17" t="str">
        <f>IFERROR(__xludf.DUMMYFUNCTION("""COMPUTED_VALUE"""),"If this unit is defeated before it can attack, Gain 1 random item.")</f>
        <v>If this unit is defeated before it can attack, Gain 1 random item.</v>
      </c>
      <c r="L14" s="15" t="str">
        <f>IFERROR(__xludf.DUMMYFUNCTION("""COMPUTED_VALUE"""),"(Did it attack?)")</f>
        <v>(Did it attack?)</v>
      </c>
      <c r="M14" s="18" t="str">
        <f>IFERROR(__xludf.DUMMYFUNCTION("""COMPUTED_VALUE"""),"&gt;On Resolve Combat")</f>
        <v>&gt;On Resolve Combat</v>
      </c>
      <c r="N14" s="18" t="str">
        <f>IFERROR(__xludf.DUMMYFUNCTION("""COMPUTED_VALUE"""),"Initiates
[Gain 1 Item]
If (Did it attack?) returns False")</f>
        <v>Initiates
[Gain 1 Item]
If (Did it attack?) returns False</v>
      </c>
      <c r="O14" s="19" t="str">
        <f>IFERROR(__xludf.DUMMYFUNCTION("""COMPUTED_VALUE"""),"&gt;On Resolve Combat")</f>
        <v>&gt;On Resolve Combat</v>
      </c>
      <c r="P14" s="19" t="str">
        <f>IFERROR(__xludf.DUMMYFUNCTION("""COMPUTED_VALUE"""),"(Did it attack?)
[Gain 1 Item]")</f>
        <v>(Did it attack?)
[Gain 1 Item]</v>
      </c>
      <c r="Q14" s="41" t="str">
        <f>IFERROR(__xludf.DUMMYFUNCTION("""COMPUTED_VALUE"""),"(Did It Attack?): Set to False at the start of combat. If the enemy ever attacks, set to True. Ways to prevent the enemy from attacking are killing or otherwise defeating the enemy with items (i.e. not blocking).
Draws 1 Random item (tier-agnostic) from "&amp;"the pool of items that have not been drawn in this dungeon yet.")</f>
        <v>(Did It Attack?): Set to False at the start of combat. If the enemy ever attacks, set to True. Ways to prevent the enemy from attacking are killing or otherwise defeating the enemy with items (i.e. not blocking).
Draws 1 Random item (tier-agnostic) from the pool of items that have not been drawn in this dungeon yet.</v>
      </c>
      <c r="R14" s="39" t="str">
        <f>IFERROR(__xludf.DUMMYFUNCTION("""COMPUTED_VALUE"""),"Edge Case: If there are 0 items left in the pool, then do not draw an item.")</f>
        <v>Edge Case: If there are 0 items left in the pool, then do not draw an item.</v>
      </c>
      <c r="S14" s="23"/>
      <c r="T14" s="80">
        <v>44671.0</v>
      </c>
      <c r="U14" s="32" t="s">
        <v>219</v>
      </c>
    </row>
    <row r="15">
      <c r="A15" s="11" t="b">
        <f>IFERROR(__xludf.DUMMYFUNCTION("""COMPUTED_VALUE"""),FALSE)</f>
        <v>0</v>
      </c>
      <c r="B15" s="12" t="b">
        <f>IFERROR(__xludf.DUMMYFUNCTION("""COMPUTED_VALUE"""),FALSE)</f>
        <v>0</v>
      </c>
      <c r="C15" s="13" t="str">
        <f>IFERROR(__xludf.DUMMYFUNCTION("""COMPUTED_VALUE"""),"M")</f>
        <v>M</v>
      </c>
      <c r="D15" s="14" t="str">
        <f>IFERROR(__xludf.DUMMYFUNCTION("""COMPUTED_VALUE"""),"Two-Headed Serpent")</f>
        <v>Two-Headed Serpent</v>
      </c>
      <c r="E15" s="13">
        <f>IFERROR(__xludf.DUMMYFUNCTION("""COMPUTED_VALUE"""),4.0)</f>
        <v>4</v>
      </c>
      <c r="F15" s="15" t="str">
        <f>IFERROR(__xludf.DUMMYFUNCTION("""COMPUTED_VALUE"""),"Starter")</f>
        <v>Starter</v>
      </c>
      <c r="G15" s="13">
        <f>IFERROR(__xludf.DUMMYFUNCTION("""COMPUTED_VALUE"""),2.0)</f>
        <v>2</v>
      </c>
      <c r="H15" s="13">
        <f>IFERROR(__xludf.DUMMYFUNCTION("""COMPUTED_VALUE"""),1.0)</f>
        <v>1</v>
      </c>
      <c r="I15" s="16">
        <f>IFERROR(__xludf.DUMMYFUNCTION("""COMPUTED_VALUE"""),5.0)</f>
        <v>5</v>
      </c>
      <c r="J15" s="16">
        <f>IFERROR(__xludf.DUMMYFUNCTION("""COMPUTED_VALUE"""),5.0)</f>
        <v>5</v>
      </c>
      <c r="K15" s="17" t="str">
        <f>IFERROR(__xludf.DUMMYFUNCTION("""COMPUTED_VALUE"""),"Does not attack if you use at least 2 items.")</f>
        <v>Does not attack if you use at least 2 items.</v>
      </c>
      <c r="L15" s="15" t="str">
        <f>IFERROR(__xludf.DUMMYFUNCTION("""COMPUTED_VALUE"""),"(# items used this combat)")</f>
        <v>(# items used this combat)</v>
      </c>
      <c r="M15" s="18" t="str">
        <f>IFERROR(__xludf.DUMMYFUNCTION("""COMPUTED_VALUE"""),"&gt;On Item Use")</f>
        <v>&gt;On Item Use</v>
      </c>
      <c r="N15" s="18" t="str">
        <f>IFERROR(__xludf.DUMMYFUNCTION("""COMPUTED_VALUE"""),"---")</f>
        <v>---</v>
      </c>
      <c r="O15" s="19" t="str">
        <f>IFERROR(__xludf.DUMMYFUNCTION("""COMPUTED_VALUE"""),"---")</f>
        <v>---</v>
      </c>
      <c r="P15" s="19" t="str">
        <f>IFERROR(__xludf.DUMMYFUNCTION("""COMPUTED_VALUE"""),"[Used 2 Items?]")</f>
        <v>[Used 2 Items?]</v>
      </c>
      <c r="Q15" s="41" t="str">
        <f>IFERROR(__xludf.DUMMYFUNCTION("""COMPUTED_VALUE"""),"Checks if player uses (or 'taps') 2 items during its combat, at which point its ATK immediately drops to zero (0).")</f>
        <v>Checks if player uses (or 'taps') 2 items during its combat, at which point its ATK immediately drops to zero (0).</v>
      </c>
      <c r="R15" s="84" t="str">
        <f>IFERROR(__xludf.DUMMYFUNCTION("""COMPUTED_VALUE""")," Edge Case: If the second item used is Smoke Bomb, nothing special happens. Smoke Bomb occurs as usual, and (later) when the player encounters Two-Headed Serpent again, they will still be set to attack again.")</f>
        <v> Edge Case: If the second item used is Smoke Bomb, nothing special happens. Smoke Bomb occurs as usual, and (later) when the player encounters Two-Headed Serpent again, they will still be set to attack again.</v>
      </c>
      <c r="S15" s="23"/>
      <c r="T15" s="80"/>
      <c r="U15" s="24"/>
    </row>
    <row r="16">
      <c r="A16" s="11" t="b">
        <f>IFERROR(__xludf.DUMMYFUNCTION("""COMPUTED_VALUE"""),FALSE)</f>
        <v>0</v>
      </c>
      <c r="B16" s="12" t="b">
        <f>IFERROR(__xludf.DUMMYFUNCTION("""COMPUTED_VALUE"""),FALSE)</f>
        <v>0</v>
      </c>
      <c r="C16" s="13" t="str">
        <f>IFERROR(__xludf.DUMMYFUNCTION("""COMPUTED_VALUE"""),"M")</f>
        <v>M</v>
      </c>
      <c r="D16" s="14" t="str">
        <f>IFERROR(__xludf.DUMMYFUNCTION("""COMPUTED_VALUE"""),"Slime Boss")</f>
        <v>Slime Boss</v>
      </c>
      <c r="E16" s="13">
        <f>IFERROR(__xludf.DUMMYFUNCTION("""COMPUTED_VALUE"""),2.0)</f>
        <v>2</v>
      </c>
      <c r="F16" s="15" t="str">
        <f>IFERROR(__xludf.DUMMYFUNCTION("""COMPUTED_VALUE"""),"Starter")</f>
        <v>Starter</v>
      </c>
      <c r="G16" s="13">
        <f>IFERROR(__xludf.DUMMYFUNCTION("""COMPUTED_VALUE"""),3.0)</f>
        <v>3</v>
      </c>
      <c r="H16" s="13">
        <f>IFERROR(__xludf.DUMMYFUNCTION("""COMPUTED_VALUE"""),1.0)</f>
        <v>1</v>
      </c>
      <c r="I16" s="16" t="str">
        <f>IFERROR(__xludf.DUMMYFUNCTION("""COMPUTED_VALUE"""),"X")</f>
        <v>X</v>
      </c>
      <c r="J16" s="16">
        <f>IFERROR(__xludf.DUMMYFUNCTION("""COMPUTED_VALUE"""),9.0)</f>
        <v>9</v>
      </c>
      <c r="K16" s="17" t="str">
        <f>IFERROR(__xludf.DUMMYFUNCTION("""COMPUTED_VALUE"""),"X = This unit's HP.")</f>
        <v>X = This unit's HP.</v>
      </c>
      <c r="L16" s="15" t="str">
        <f>IFERROR(__xludf.DUMMYFUNCTION("""COMPUTED_VALUE"""),"(Enemy HP)")</f>
        <v>(Enemy HP)</v>
      </c>
      <c r="M16" s="18" t="str">
        <f>IFERROR(__xludf.DUMMYFUNCTION("""COMPUTED_VALUE"""),"&gt;On Enemy HP Change")</f>
        <v>&gt;On Enemy HP Change</v>
      </c>
      <c r="N16" s="18" t="str">
        <f>IFERROR(__xludf.DUMMYFUNCTION("""COMPUTED_VALUE"""),"Its own ATK")</f>
        <v>Its own ATK</v>
      </c>
      <c r="O16" s="19" t="str">
        <f>IFERROR(__xludf.DUMMYFUNCTION("""COMPUTED_VALUE"""),"&gt;On Enemy HP Change")</f>
        <v>&gt;On Enemy HP Change</v>
      </c>
      <c r="P16" s="19"/>
      <c r="Q16" s="41"/>
      <c r="R16" s="35" t="str">
        <f>IFERROR(__xludf.DUMMYFUNCTION("""COMPUTED_VALUE"""),"Edge Case: This is the only unit whose ATK value can change mid-combat. This means that dealing it damage can effect items that react to enemy ATK (Sai, Fangs, Sledgehammer).")</f>
        <v>Edge Case: This is the only unit whose ATK value can change mid-combat. This means that dealing it damage can effect items that react to enemy ATK (Sai, Fangs, Sledgehammer).</v>
      </c>
      <c r="S16" s="23"/>
      <c r="T16" s="80"/>
      <c r="U16" s="32"/>
    </row>
    <row r="17">
      <c r="A17" s="11" t="b">
        <f>IFERROR(__xludf.DUMMYFUNCTION("""COMPUTED_VALUE"""),FALSE)</f>
        <v>0</v>
      </c>
      <c r="B17" s="12" t="b">
        <f>IFERROR(__xludf.DUMMYFUNCTION("""COMPUTED_VALUE"""),FALSE)</f>
        <v>0</v>
      </c>
      <c r="C17" s="13" t="str">
        <f>IFERROR(__xludf.DUMMYFUNCTION("""COMPUTED_VALUE"""),"M")</f>
        <v>M</v>
      </c>
      <c r="D17" s="14" t="str">
        <f>IFERROR(__xludf.DUMMYFUNCTION("""COMPUTED_VALUE"""),"Spider Queen")</f>
        <v>Spider Queen</v>
      </c>
      <c r="E17" s="13">
        <f>IFERROR(__xludf.DUMMYFUNCTION("""COMPUTED_VALUE"""),3.0)</f>
        <v>3</v>
      </c>
      <c r="F17" s="15" t="str">
        <f>IFERROR(__xludf.DUMMYFUNCTION("""COMPUTED_VALUE"""),"Uncommon")</f>
        <v>Uncommon</v>
      </c>
      <c r="G17" s="13">
        <f>IFERROR(__xludf.DUMMYFUNCTION("""COMPUTED_VALUE"""),3.0)</f>
        <v>3</v>
      </c>
      <c r="H17" s="13">
        <f>IFERROR(__xludf.DUMMYFUNCTION("""COMPUTED_VALUE"""),1.0)</f>
        <v>1</v>
      </c>
      <c r="I17" s="16">
        <f>IFERROR(__xludf.DUMMYFUNCTION("""COMPUTED_VALUE"""),3.0)</f>
        <v>3</v>
      </c>
      <c r="J17" s="16">
        <f>IFERROR(__xludf.DUMMYFUNCTION("""COMPUTED_VALUE"""),7.0)</f>
        <v>7</v>
      </c>
      <c r="K17" s="17" t="str">
        <f>IFERROR(__xludf.DUMMYFUNCTION("""COMPUTED_VALUE"""),"When this unit attacks, if it has more HP than at least one neighbor it attacks twice.")</f>
        <v>When this unit attacks, if it has more HP than at least one neighbor it attacks twice.</v>
      </c>
      <c r="L17" s="15" t="str">
        <f>IFERROR(__xludf.DUMMYFUNCTION("""COMPUTED_VALUE"""),"(Neighbor with less HP?)")</f>
        <v>(Neighbor with less HP?)</v>
      </c>
      <c r="M17" s="18" t="str">
        <f>IFERROR(__xludf.DUMMYFUNCTION("""COMPUTED_VALUE"""),"&gt;On Enemy HP Change")</f>
        <v>&gt;On Enemy HP Change</v>
      </c>
      <c r="N17" s="18" t="str">
        <f>IFERROR(__xludf.DUMMYFUNCTION("""COMPUTED_VALUE"""),"(# Times Attack)")</f>
        <v>(# Times Attack)</v>
      </c>
      <c r="O17" s="19" t="str">
        <f>IFERROR(__xludf.DUMMYFUNCTION("""COMPUTED_VALUE"""),"&gt;On Resolve Combat")</f>
        <v>&gt;On Resolve Combat</v>
      </c>
      <c r="P17" s="19" t="str">
        <f>IFERROR(__xludf.DUMMYFUNCTION("""COMPUTED_VALUE"""),"(Neighbor with less HP?)")</f>
        <v>(Neighbor with less HP?)</v>
      </c>
      <c r="Q17" s="41" t="str">
        <f>IFERROR(__xludf.DUMMYFUNCTION("""COMPUTED_VALUE"""),"Each time On Enemy HP Change, checks all Neigbors to see if they have less HP than. If True, then sets (# Times Attack) to 2.")</f>
        <v>Each time On Enemy HP Change, checks all Neigbors to see if they have less HP than. If True, then sets (# Times Attack) to 2.</v>
      </c>
      <c r="R17" s="26" t="str">
        <f>IFERROR(__xludf.DUMMYFUNCTION("""COMPUTED_VALUE"""),"---")</f>
        <v>---</v>
      </c>
      <c r="S17" s="29"/>
      <c r="T17" s="80">
        <v>44675.0</v>
      </c>
      <c r="U17" s="32" t="s">
        <v>220</v>
      </c>
    </row>
    <row r="18">
      <c r="A18" s="11" t="b">
        <f>IFERROR(__xludf.DUMMYFUNCTION("""COMPUTED_VALUE"""),TRUE)</f>
        <v>1</v>
      </c>
      <c r="B18" s="12" t="b">
        <f>IFERROR(__xludf.DUMMYFUNCTION("""COMPUTED_VALUE"""),FALSE)</f>
        <v>0</v>
      </c>
      <c r="C18" s="13" t="str">
        <f>IFERROR(__xludf.DUMMYFUNCTION("""COMPUTED_VALUE"""),"M")</f>
        <v>M</v>
      </c>
      <c r="D18" s="14" t="str">
        <f>IFERROR(__xludf.DUMMYFUNCTION("""COMPUTED_VALUE"""),"Commander")</f>
        <v>Commander</v>
      </c>
      <c r="E18" s="13">
        <f>IFERROR(__xludf.DUMMYFUNCTION("""COMPUTED_VALUE"""),4.0)</f>
        <v>4</v>
      </c>
      <c r="F18" s="15" t="str">
        <f>IFERROR(__xludf.DUMMYFUNCTION("""COMPUTED_VALUE"""),"Uncommon")</f>
        <v>Uncommon</v>
      </c>
      <c r="G18" s="13">
        <f>IFERROR(__xludf.DUMMYFUNCTION("""COMPUTED_VALUE"""),3.0)</f>
        <v>3</v>
      </c>
      <c r="H18" s="13">
        <f>IFERROR(__xludf.DUMMYFUNCTION("""COMPUTED_VALUE"""),2.0)</f>
        <v>2</v>
      </c>
      <c r="I18" s="16">
        <f>IFERROR(__xludf.DUMMYFUNCTION("""COMPUTED_VALUE"""),3.0)</f>
        <v>3</v>
      </c>
      <c r="J18" s="16">
        <f>IFERROR(__xludf.DUMMYFUNCTION("""COMPUTED_VALUE"""),3.0)</f>
        <v>3</v>
      </c>
      <c r="K18" s="25" t="str">
        <f>IFERROR(__xludf.DUMMYFUNCTION("""COMPUTED_VALUE"""),"Adds 2 to the ATK of neighboring monsters.")</f>
        <v>Adds 2 to the ATK of neighboring monsters.</v>
      </c>
      <c r="L18" s="15" t="str">
        <f>IFERROR(__xludf.DUMMYFUNCTION("""COMPUTED_VALUE"""),"---")</f>
        <v>---</v>
      </c>
      <c r="M18" s="18" t="str">
        <f>IFERROR(__xludf.DUMMYFUNCTION("""COMPUTED_VALUE"""),"---")</f>
        <v>---</v>
      </c>
      <c r="N18" s="18" t="str">
        <f>IFERROR(__xludf.DUMMYFUNCTION("""COMPUTED_VALUE"""),"Neighboring ATK")</f>
        <v>Neighboring ATK</v>
      </c>
      <c r="O18" s="19" t="str">
        <f>IFERROR(__xludf.DUMMYFUNCTION("""COMPUTED_VALUE"""),"&gt;On Remove Slice")</f>
        <v>&gt;On Remove Slice</v>
      </c>
      <c r="P18" s="19" t="str">
        <f>IFERROR(__xludf.DUMMYFUNCTION("""COMPUTED_VALUE"""),"---")</f>
        <v>---</v>
      </c>
      <c r="Q18" s="41" t="str">
        <f>IFERROR(__xludf.DUMMYFUNCTION("""COMPUTED_VALUE"""),"(Neighboring ATK): This addition to ATK will always take place after all other calculations and modifiers have been added.")</f>
        <v>(Neighboring ATK): This addition to ATK will always take place after all other calculations and modifiers have been added.</v>
      </c>
      <c r="R18" s="26" t="str">
        <f>IFERROR(__xludf.DUMMYFUNCTION("""COMPUTED_VALUE"""),"---")</f>
        <v>---</v>
      </c>
      <c r="S18" s="23"/>
      <c r="T18" s="80">
        <v>44675.0</v>
      </c>
      <c r="U18" s="32" t="s">
        <v>221</v>
      </c>
    </row>
    <row r="19">
      <c r="A19" s="42" t="b">
        <f>IFERROR(__xludf.DUMMYFUNCTION("""COMPUTED_VALUE"""),FALSE)</f>
        <v>0</v>
      </c>
      <c r="B19" s="43" t="b">
        <f>IFERROR(__xludf.DUMMYFUNCTION("""COMPUTED_VALUE"""),FALSE)</f>
        <v>0</v>
      </c>
      <c r="C19" s="44" t="str">
        <f>IFERROR(__xludf.DUMMYFUNCTION("""COMPUTED_VALUE"""),"M")</f>
        <v>M</v>
      </c>
      <c r="D19" s="45" t="str">
        <f>IFERROR(__xludf.DUMMYFUNCTION("""COMPUTED_VALUE"""),"Dragon")</f>
        <v>Dragon</v>
      </c>
      <c r="E19" s="13">
        <f>IFERROR(__xludf.DUMMYFUNCTION("""COMPUTED_VALUE"""),4.0)</f>
        <v>4</v>
      </c>
      <c r="F19" s="15" t="str">
        <f>IFERROR(__xludf.DUMMYFUNCTION("""COMPUTED_VALUE"""),"Uncommon")</f>
        <v>Uncommon</v>
      </c>
      <c r="G19" s="13">
        <f>IFERROR(__xludf.DUMMYFUNCTION("""COMPUTED_VALUE"""),3.0)</f>
        <v>3</v>
      </c>
      <c r="H19" s="13">
        <f>IFERROR(__xludf.DUMMYFUNCTION("""COMPUTED_VALUE"""),1.0)</f>
        <v>1</v>
      </c>
      <c r="I19" s="13">
        <f>IFERROR(__xludf.DUMMYFUNCTION("""COMPUTED_VALUE"""),4.0)</f>
        <v>4</v>
      </c>
      <c r="J19" s="13">
        <f>IFERROR(__xludf.DUMMYFUNCTION("""COMPUTED_VALUE"""),6.0)</f>
        <v>6</v>
      </c>
      <c r="K19" s="17" t="str">
        <f>IFERROR(__xludf.DUMMYFUNCTION("""COMPUTED_VALUE"""),"This unit's ATK damage ignores block.")</f>
        <v>This unit's ATK damage ignores block.</v>
      </c>
      <c r="L19" s="15" t="str">
        <f>IFERROR(__xludf.DUMMYFUNCTION("""COMPUTED_VALUE"""),"---")</f>
        <v>---</v>
      </c>
      <c r="M19" s="18" t="str">
        <f>IFERROR(__xludf.DUMMYFUNCTION("""COMPUTED_VALUE"""),"---")</f>
        <v>---</v>
      </c>
      <c r="N19" s="46" t="str">
        <f>IFERROR(__xludf.DUMMYFUNCTION("""COMPUTED_VALUE"""),"Initiates
[Double ATK or BLK]
On Spin")</f>
        <v>Initiates
[Double ATK or BLK]
On Spin</v>
      </c>
      <c r="O19" s="34" t="str">
        <f>IFERROR(__xludf.DUMMYFUNCTION("""COMPUTED_VALUE"""),"&gt; On Spin")</f>
        <v>&gt; On Spin</v>
      </c>
      <c r="P19" s="34" t="str">
        <f>IFERROR(__xludf.DUMMYFUNCTION("""COMPUTED_VALUE"""),"[Double ATK or BLK]")</f>
        <v>[Double ATK or BLK]</v>
      </c>
      <c r="Q19" s="22" t="str">
        <f>IFERROR(__xludf.DUMMYFUNCTION("""COMPUTED_VALUE"""),"Once initiated, sets trigger to automatically double the effect of the first time the player gains BLK or deals ATK damage, then removes this trigger.")</f>
        <v>Once initiated, sets trigger to automatically double the effect of the first time the player gains BLK or deals ATK damage, then removes this trigger.</v>
      </c>
      <c r="R19" s="22" t="str">
        <f>IFERROR(__xludf.DUMMYFUNCTION("""COMPUTED_VALUE"""),"---")</f>
        <v>---</v>
      </c>
      <c r="S19" s="23"/>
      <c r="T19" s="80">
        <v>44675.0</v>
      </c>
      <c r="U19" s="32" t="s">
        <v>221</v>
      </c>
    </row>
    <row r="20">
      <c r="A20" s="42" t="b">
        <f>IFERROR(__xludf.DUMMYFUNCTION("""COMPUTED_VALUE"""),FALSE)</f>
        <v>0</v>
      </c>
      <c r="B20" s="43" t="b">
        <f>IFERROR(__xludf.DUMMYFUNCTION("""COMPUTED_VALUE"""),FALSE)</f>
        <v>0</v>
      </c>
      <c r="C20" s="44" t="str">
        <f>IFERROR(__xludf.DUMMYFUNCTION("""COMPUTED_VALUE"""),"I")</f>
        <v>I</v>
      </c>
      <c r="D20" s="72" t="str">
        <f>IFERROR(__xludf.DUMMYFUNCTION("""COMPUTED_VALUE"""),"Throwing Knife")</f>
        <v>Throwing Knife</v>
      </c>
      <c r="E20" s="36">
        <f>IFERROR(__xludf.DUMMYFUNCTION("""COMPUTED_VALUE"""),1.0)</f>
        <v>1</v>
      </c>
      <c r="F20" s="15" t="str">
        <f>IFERROR(__xludf.DUMMYFUNCTION("""COMPUTED_VALUE"""),"Starter")</f>
        <v>Starter</v>
      </c>
      <c r="G20" s="36">
        <f>IFERROR(__xludf.DUMMYFUNCTION("""COMPUTED_VALUE"""),1.0)</f>
        <v>1</v>
      </c>
      <c r="H20" s="36">
        <f>IFERROR(__xludf.DUMMYFUNCTION("""COMPUTED_VALUE"""),2.0)</f>
        <v>2</v>
      </c>
      <c r="I20" s="36" t="str">
        <f>IFERROR(__xludf.DUMMYFUNCTION("""COMPUTED_VALUE"""),"---")</f>
        <v>---</v>
      </c>
      <c r="J20" s="36" t="str">
        <f>IFERROR(__xludf.DUMMYFUNCTION("""COMPUTED_VALUE"""),"---")</f>
        <v>---</v>
      </c>
      <c r="K20" s="38" t="str">
        <f>IFERROR(__xludf.DUMMYFUNCTION("""COMPUTED_VALUE"""),"(ATK 3),
OR
(ATK 1) and keep this item.")</f>
        <v>(ATK 3),
OR
(ATK 1) and keep this item.</v>
      </c>
      <c r="L20" s="15" t="str">
        <f>IFERROR(__xludf.DUMMYFUNCTION("""COMPUTED_VALUE"""),"---")</f>
        <v>---</v>
      </c>
      <c r="M20" s="18" t="str">
        <f>IFERROR(__xludf.DUMMYFUNCTION("""COMPUTED_VALUE"""),"---")</f>
        <v>---</v>
      </c>
      <c r="N20" s="18" t="str">
        <f>IFERROR(__xludf.DUMMYFUNCTION("""COMPUTED_VALUE"""),"---")</f>
        <v>---</v>
      </c>
      <c r="O20" s="19" t="str">
        <f>IFERROR(__xludf.DUMMYFUNCTION("""COMPUTED_VALUE"""),"---")</f>
        <v>---</v>
      </c>
      <c r="P20" s="19" t="str">
        <f>IFERROR(__xludf.DUMMYFUNCTION("""COMPUTED_VALUE"""),"---")</f>
        <v>---</v>
      </c>
      <c r="Q20" s="41" t="str">
        <f>IFERROR(__xludf.DUMMYFUNCTION("""COMPUTED_VALUE"""),"---")</f>
        <v>---</v>
      </c>
      <c r="R20" s="28" t="str">
        <f>IFERROR(__xludf.DUMMYFUNCTION("""COMPUTED_VALUE"""),"---")</f>
        <v>---</v>
      </c>
      <c r="S20" s="53"/>
      <c r="T20" s="80">
        <v>44671.0</v>
      </c>
      <c r="U20" s="85" t="s">
        <v>222</v>
      </c>
    </row>
    <row r="21">
      <c r="A21" s="42" t="b">
        <f>IFERROR(__xludf.DUMMYFUNCTION("""COMPUTED_VALUE"""),TRUE)</f>
        <v>1</v>
      </c>
      <c r="B21" s="43" t="b">
        <f>IFERROR(__xludf.DUMMYFUNCTION("""COMPUTED_VALUE"""),FALSE)</f>
        <v>0</v>
      </c>
      <c r="C21" s="44" t="str">
        <f>IFERROR(__xludf.DUMMYFUNCTION("""COMPUTED_VALUE"""),"I")</f>
        <v>I</v>
      </c>
      <c r="D21" s="45" t="str">
        <f>IFERROR(__xludf.DUMMYFUNCTION("""COMPUTED_VALUE"""),"Shield")</f>
        <v>Shield</v>
      </c>
      <c r="E21" s="13">
        <f>IFERROR(__xludf.DUMMYFUNCTION("""COMPUTED_VALUE"""),1.0)</f>
        <v>1</v>
      </c>
      <c r="F21" s="15" t="str">
        <f>IFERROR(__xludf.DUMMYFUNCTION("""COMPUTED_VALUE"""),"Starter")</f>
        <v>Starter</v>
      </c>
      <c r="G21" s="13">
        <f>IFERROR(__xludf.DUMMYFUNCTION("""COMPUTED_VALUE"""),1.0)</f>
        <v>1</v>
      </c>
      <c r="H21" s="13">
        <f>IFERROR(__xludf.DUMMYFUNCTION("""COMPUTED_VALUE"""),1.0)</f>
        <v>1</v>
      </c>
      <c r="I21" s="13" t="str">
        <f>IFERROR(__xludf.DUMMYFUNCTION("""COMPUTED_VALUE"""),"---")</f>
        <v>---</v>
      </c>
      <c r="J21" s="13" t="str">
        <f>IFERROR(__xludf.DUMMYFUNCTION("""COMPUTED_VALUE"""),"---")</f>
        <v>---</v>
      </c>
      <c r="K21" s="17" t="str">
        <f>IFERROR(__xludf.DUMMYFUNCTION("""COMPUTED_VALUE"""),"(BLK 4)")</f>
        <v>(BLK 4)</v>
      </c>
      <c r="L21" s="15" t="str">
        <f>IFERROR(__xludf.DUMMYFUNCTION("""COMPUTED_VALUE"""),"---")</f>
        <v>---</v>
      </c>
      <c r="M21" s="46" t="str">
        <f>IFERROR(__xludf.DUMMYFUNCTION("""COMPUTED_VALUE"""),"---")</f>
        <v>---</v>
      </c>
      <c r="N21" s="46" t="str">
        <f>IFERROR(__xludf.DUMMYFUNCTION("""COMPUTED_VALUE"""),"---")</f>
        <v>---</v>
      </c>
      <c r="O21" s="34" t="str">
        <f>IFERROR(__xludf.DUMMYFUNCTION("""COMPUTED_VALUE"""),"---")</f>
        <v>---</v>
      </c>
      <c r="P21" s="34" t="str">
        <f>IFERROR(__xludf.DUMMYFUNCTION("""COMPUTED_VALUE"""),"---")</f>
        <v>---</v>
      </c>
      <c r="Q21" s="22" t="str">
        <f>IFERROR(__xludf.DUMMYFUNCTION("""COMPUTED_VALUE"""),"---")</f>
        <v>---</v>
      </c>
      <c r="R21" s="22" t="str">
        <f>IFERROR(__xludf.DUMMYFUNCTION("""COMPUTED_VALUE"""),"---")</f>
        <v>---</v>
      </c>
      <c r="S21" s="23"/>
      <c r="T21" s="80"/>
      <c r="U21" s="24"/>
    </row>
    <row r="22">
      <c r="A22" s="42" t="b">
        <f>IFERROR(__xludf.DUMMYFUNCTION("""COMPUTED_VALUE"""),TRUE)</f>
        <v>1</v>
      </c>
      <c r="B22" s="43" t="b">
        <f>IFERROR(__xludf.DUMMYFUNCTION("""COMPUTED_VALUE"""),FALSE)</f>
        <v>0</v>
      </c>
      <c r="C22" s="44" t="str">
        <f>IFERROR(__xludf.DUMMYFUNCTION("""COMPUTED_VALUE"""),"I")</f>
        <v>I</v>
      </c>
      <c r="D22" s="45" t="str">
        <f>IFERROR(__xludf.DUMMYFUNCTION("""COMPUTED_VALUE"""),"Sai")</f>
        <v>Sai</v>
      </c>
      <c r="E22" s="13">
        <f>IFERROR(__xludf.DUMMYFUNCTION("""COMPUTED_VALUE"""),2.0)</f>
        <v>2</v>
      </c>
      <c r="F22" s="15" t="str">
        <f>IFERROR(__xludf.DUMMYFUNCTION("""COMPUTED_VALUE"""),"Starter")</f>
        <v>Starter</v>
      </c>
      <c r="G22" s="13">
        <f>IFERROR(__xludf.DUMMYFUNCTION("""COMPUTED_VALUE"""),1.0)</f>
        <v>1</v>
      </c>
      <c r="H22" s="13">
        <f>IFERROR(__xludf.DUMMYFUNCTION("""COMPUTED_VALUE"""),2.0)</f>
        <v>2</v>
      </c>
      <c r="I22" s="13" t="str">
        <f>IFERROR(__xludf.DUMMYFUNCTION("""COMPUTED_VALUE"""),"---")</f>
        <v>---</v>
      </c>
      <c r="J22" s="13" t="str">
        <f>IFERROR(__xludf.DUMMYFUNCTION("""COMPUTED_VALUE"""),"---")</f>
        <v>---</v>
      </c>
      <c r="K22" s="17" t="str">
        <f>IFERROR(__xludf.DUMMYFUNCTION("""COMPUTED_VALUE"""),"(ATK 2), or (ATK 4) against monsters with even ATK.")</f>
        <v>(ATK 2), or (ATK 4) against monsters with even ATK.</v>
      </c>
      <c r="L22" s="15" t="str">
        <f>IFERROR(__xludf.DUMMYFUNCTION("""COMPUTED_VALUE"""),"(Is enemy ATK even?)")</f>
        <v>(Is enemy ATK even?)</v>
      </c>
      <c r="M22" s="18" t="str">
        <f>IFERROR(__xludf.DUMMYFUNCTION("""COMPUTED_VALUE"""),"&gt;On Spin
&gt;On Enemy ATK Change")</f>
        <v>&gt;On Spin
&gt;On Enemy ATK Change</v>
      </c>
      <c r="N22" s="48" t="str">
        <f>IFERROR(__xludf.DUMMYFUNCTION("""COMPUTED_VALUE"""),"Its own ATK")</f>
        <v>Its own ATK</v>
      </c>
      <c r="O22" s="19" t="str">
        <f>IFERROR(__xludf.DUMMYFUNCTION("""COMPUTED_VALUE"""),"&gt;On Spin
&gt;On Enemy ATK Change")</f>
        <v>&gt;On Spin
&gt;On Enemy ATK Change</v>
      </c>
      <c r="P22" s="49"/>
      <c r="Q22" s="41"/>
      <c r="R22" s="28"/>
      <c r="S22" s="50"/>
      <c r="T22" s="80"/>
      <c r="U22" s="51"/>
    </row>
    <row r="23">
      <c r="A23" s="42" t="b">
        <f>IFERROR(__xludf.DUMMYFUNCTION("""COMPUTED_VALUE"""),TRUE)</f>
        <v>1</v>
      </c>
      <c r="B23" s="43" t="b">
        <f>IFERROR(__xludf.DUMMYFUNCTION("""COMPUTED_VALUE"""),FALSE)</f>
        <v>0</v>
      </c>
      <c r="C23" s="44" t="str">
        <f>IFERROR(__xludf.DUMMYFUNCTION("""COMPUTED_VALUE"""),"I")</f>
        <v>I</v>
      </c>
      <c r="D23" s="45" t="str">
        <f>IFERROR(__xludf.DUMMYFUNCTION("""COMPUTED_VALUE"""),"Medallion")</f>
        <v>Medallion</v>
      </c>
      <c r="E23" s="13">
        <f>IFERROR(__xludf.DUMMYFUNCTION("""COMPUTED_VALUE"""),2.0)</f>
        <v>2</v>
      </c>
      <c r="F23" s="15" t="str">
        <f>IFERROR(__xludf.DUMMYFUNCTION("""COMPUTED_VALUE"""),"Starter")</f>
        <v>Starter</v>
      </c>
      <c r="G23" s="13">
        <f>IFERROR(__xludf.DUMMYFUNCTION("""COMPUTED_VALUE"""),1.0)</f>
        <v>1</v>
      </c>
      <c r="H23" s="13">
        <f>IFERROR(__xludf.DUMMYFUNCTION("""COMPUTED_VALUE"""),1.0)</f>
        <v>1</v>
      </c>
      <c r="I23" s="13" t="str">
        <f>IFERROR(__xludf.DUMMYFUNCTION("""COMPUTED_VALUE"""),"---")</f>
        <v>---</v>
      </c>
      <c r="J23" s="13" t="str">
        <f>IFERROR(__xludf.DUMMYFUNCTION("""COMPUTED_VALUE"""),"---")</f>
        <v>---</v>
      </c>
      <c r="K23" s="17" t="str">
        <f>IFERROR(__xludf.DUMMYFUNCTION("""COMPUTED_VALUE"""),"(BLK 6-X), where X is your HP.")</f>
        <v>(BLK 6-X), where X is your HP.</v>
      </c>
      <c r="L23" s="15" t="str">
        <f>IFERROR(__xludf.DUMMYFUNCTION("""COMPUTED_VALUE"""),"(HP)")</f>
        <v>(HP)</v>
      </c>
      <c r="M23" s="18" t="str">
        <f>IFERROR(__xludf.DUMMYFUNCTION("""COMPUTED_VALUE"""),"&gt;On Spin
&gt;On HP Change")</f>
        <v>&gt;On Spin
&gt;On HP Change</v>
      </c>
      <c r="N23" s="48" t="str">
        <f>IFERROR(__xludf.DUMMYFUNCTION("""COMPUTED_VALUE"""),"Its own BLK")</f>
        <v>Its own BLK</v>
      </c>
      <c r="O23" s="19" t="str">
        <f>IFERROR(__xludf.DUMMYFUNCTION("""COMPUTED_VALUE"""),"&gt;On Spin
&gt;On HP Change")</f>
        <v>&gt;On Spin
&gt;On HP Change</v>
      </c>
      <c r="P23" s="52" t="str">
        <f>IFERROR(__xludf.DUMMYFUNCTION("""COMPUTED_VALUE"""),"&gt;On HP Change")</f>
        <v>&gt;On HP Change</v>
      </c>
      <c r="Q23" s="41" t="str">
        <f>IFERROR(__xludf.DUMMYFUNCTION("""COMPUTED_VALUE"""),"This check occurs each time the player's HP changes.")</f>
        <v>This check occurs each time the player's HP changes.</v>
      </c>
      <c r="R23" s="28"/>
      <c r="S23" s="53"/>
      <c r="T23" s="80"/>
      <c r="U23" s="32"/>
    </row>
    <row r="24">
      <c r="A24" s="42" t="b">
        <f>IFERROR(__xludf.DUMMYFUNCTION("""COMPUTED_VALUE"""),TRUE)</f>
        <v>1</v>
      </c>
      <c r="B24" s="43" t="b">
        <f>IFERROR(__xludf.DUMMYFUNCTION("""COMPUTED_VALUE"""),FALSE)</f>
        <v>0</v>
      </c>
      <c r="C24" s="44" t="str">
        <f>IFERROR(__xludf.DUMMYFUNCTION("""COMPUTED_VALUE"""),"I")</f>
        <v>I</v>
      </c>
      <c r="D24" s="45" t="str">
        <f>IFERROR(__xludf.DUMMYFUNCTION("""COMPUTED_VALUE"""),"Helmet")</f>
        <v>Helmet</v>
      </c>
      <c r="E24" s="13">
        <f>IFERROR(__xludf.DUMMYFUNCTION("""COMPUTED_VALUE"""),2.0)</f>
        <v>2</v>
      </c>
      <c r="F24" s="15" t="str">
        <f>IFERROR(__xludf.DUMMYFUNCTION("""COMPUTED_VALUE"""),"Starter")</f>
        <v>Starter</v>
      </c>
      <c r="G24" s="13">
        <f>IFERROR(__xludf.DUMMYFUNCTION("""COMPUTED_VALUE"""),1.0)</f>
        <v>1</v>
      </c>
      <c r="H24" s="13">
        <f>IFERROR(__xludf.DUMMYFUNCTION("""COMPUTED_VALUE"""),2.0)</f>
        <v>2</v>
      </c>
      <c r="I24" s="13" t="str">
        <f>IFERROR(__xludf.DUMMYFUNCTION("""COMPUTED_VALUE"""),"---")</f>
        <v>---</v>
      </c>
      <c r="J24" s="13" t="str">
        <f>IFERROR(__xludf.DUMMYFUNCTION("""COMPUTED_VALUE"""),"---")</f>
        <v>---</v>
      </c>
      <c r="K24" s="17" t="str">
        <f>IFERROR(__xludf.DUMMYFUNCTION("""COMPUTED_VALUE"""),"(BLK X), where X is the lowest HP between you and the enemy.")</f>
        <v>(BLK X), where X is the lowest HP between you and the enemy.</v>
      </c>
      <c r="L24" s="15" t="str">
        <f>IFERROR(__xludf.DUMMYFUNCTION("""COMPUTED_VALUE"""),"[Lowest HP]")</f>
        <v>[Lowest HP]</v>
      </c>
      <c r="M24" s="18" t="str">
        <f>IFERROR(__xludf.DUMMYFUNCTION("""COMPUTED_VALUE"""),"&gt;On Spin
&gt;On HP Change
&gt;On Enemy HP Change")</f>
        <v>&gt;On Spin
&gt;On HP Change
&gt;On Enemy HP Change</v>
      </c>
      <c r="N24" s="48" t="str">
        <f>IFERROR(__xludf.DUMMYFUNCTION("""COMPUTED_VALUE"""),"Its own BLK")</f>
        <v>Its own BLK</v>
      </c>
      <c r="O24" s="19" t="str">
        <f>IFERROR(__xludf.DUMMYFUNCTION("""COMPUTED_VALUE"""),"&gt;On Spin
&gt;On HP Change
&gt;On Enemy HP Change")</f>
        <v>&gt;On Spin
&gt;On HP Change
&gt;On Enemy HP Change</v>
      </c>
      <c r="P24" s="52" t="str">
        <f>IFERROR(__xludf.DUMMYFUNCTION("""COMPUTED_VALUE"""),"[Lowest HP]")</f>
        <v>[Lowest HP]</v>
      </c>
      <c r="Q24" s="41" t="str">
        <f>IFERROR(__xludf.DUMMYFUNCTION("""COMPUTED_VALUE"""),"[Lowest HP]: Compares the player's current HP against the enemy's current HP and takes the lower value as X (or the Player's value if tied).
This ""check"" occurs every time the enemy's HP changes, or the player's HP changes.")</f>
        <v>[Lowest HP]: Compares the player's current HP against the enemy's current HP and takes the lower value as X (or the Player's value if tied).
This "check" occurs every time the enemy's HP changes, or the player's HP changes.</v>
      </c>
      <c r="R24" s="28"/>
      <c r="S24" s="53"/>
      <c r="T24" s="80">
        <v>44675.0</v>
      </c>
      <c r="U24" s="32" t="s">
        <v>223</v>
      </c>
    </row>
    <row r="25">
      <c r="A25" s="42" t="b">
        <f>IFERROR(__xludf.DUMMYFUNCTION("""COMPUTED_VALUE"""),TRUE)</f>
        <v>1</v>
      </c>
      <c r="B25" s="43" t="b">
        <f>IFERROR(__xludf.DUMMYFUNCTION("""COMPUTED_VALUE"""),FALSE)</f>
        <v>0</v>
      </c>
      <c r="C25" s="44" t="str">
        <f>IFERROR(__xludf.DUMMYFUNCTION("""COMPUTED_VALUE"""),"I")</f>
        <v>I</v>
      </c>
      <c r="D25" s="45" t="str">
        <f>IFERROR(__xludf.DUMMYFUNCTION("""COMPUTED_VALUE"""),"Da Boot")</f>
        <v>Da Boot</v>
      </c>
      <c r="E25" s="13">
        <f>IFERROR(__xludf.DUMMYFUNCTION("""COMPUTED_VALUE"""),2.0)</f>
        <v>2</v>
      </c>
      <c r="F25" s="15" t="str">
        <f>IFERROR(__xludf.DUMMYFUNCTION("""COMPUTED_VALUE"""),"Starter")</f>
        <v>Starter</v>
      </c>
      <c r="G25" s="13">
        <f>IFERROR(__xludf.DUMMYFUNCTION("""COMPUTED_VALUE"""),1.0)</f>
        <v>1</v>
      </c>
      <c r="H25" s="13">
        <f>IFERROR(__xludf.DUMMYFUNCTION("""COMPUTED_VALUE"""),2.0)</f>
        <v>2</v>
      </c>
      <c r="I25" s="13" t="str">
        <f>IFERROR(__xludf.DUMMYFUNCTION("""COMPUTED_VALUE"""),"---")</f>
        <v>---</v>
      </c>
      <c r="J25" s="13" t="str">
        <f>IFERROR(__xludf.DUMMYFUNCTION("""COMPUTED_VALUE"""),"---")</f>
        <v>---</v>
      </c>
      <c r="K25" s="17" t="str">
        <f>IFERROR(__xludf.DUMMYFUNCTION("""COMPUTED_VALUE"""),"Defeat an enemy with less HP than you.")</f>
        <v>Defeat an enemy with less HP than you.</v>
      </c>
      <c r="L25" s="15" t="str">
        <f>IFERROR(__xludf.DUMMYFUNCTION("""COMPUTED_VALUE"""),"(Is enemy HP less?)")</f>
        <v>(Is enemy HP less?)</v>
      </c>
      <c r="M25" s="55" t="str">
        <f>IFERROR(__xludf.DUMMYFUNCTION("""COMPUTED_VALUE"""),"&gt;On Spin
&gt;On HP Change
&gt;On Enemy HP Change")</f>
        <v>&gt;On Spin
&gt;On HP Change
&gt;On Enemy HP Change</v>
      </c>
      <c r="N25" s="56" t="str">
        <f>IFERROR(__xludf.DUMMYFUNCTION("""COMPUTED_VALUE"""),"(Usable?)")</f>
        <v>(Usable?)</v>
      </c>
      <c r="O25" s="19" t="str">
        <f>IFERROR(__xludf.DUMMYFUNCTION("""COMPUTED_VALUE"""),"Updates whenver (Is enemy HP less?) updates, to match it.")</f>
        <v>Updates whenver (Is enemy HP less?) updates, to match it.</v>
      </c>
      <c r="P25" s="57" t="str">
        <f>IFERROR(__xludf.DUMMYFUNCTION("""COMPUTED_VALUE"""),"[Defeat]")</f>
        <v>[Defeat]</v>
      </c>
      <c r="Q25" s="41" t="str">
        <f>IFERROR(__xludf.DUMMYFUNCTION("""COMPUTED_VALUE"""),"When used, Resolve Combat immediately, skipping ATK/BLK resolution.")</f>
        <v>When used, Resolve Combat immediately, skipping ATK/BLK resolution.</v>
      </c>
      <c r="R25" s="58" t="str">
        <f>IFERROR(__xludf.DUMMYFUNCTION("""COMPUTED_VALUE"""),"---")</f>
        <v>---</v>
      </c>
      <c r="S25" s="53"/>
      <c r="T25" s="80"/>
      <c r="U25" s="32"/>
    </row>
    <row r="26">
      <c r="A26" s="42" t="b">
        <f>IFERROR(__xludf.DUMMYFUNCTION("""COMPUTED_VALUE"""),TRUE)</f>
        <v>1</v>
      </c>
      <c r="B26" s="43" t="b">
        <f>IFERROR(__xludf.DUMMYFUNCTION("""COMPUTED_VALUE"""),FALSE)</f>
        <v>0</v>
      </c>
      <c r="C26" s="44" t="str">
        <f>IFERROR(__xludf.DUMMYFUNCTION("""COMPUTED_VALUE"""),"I")</f>
        <v>I</v>
      </c>
      <c r="D26" s="14" t="str">
        <f>IFERROR(__xludf.DUMMYFUNCTION("""COMPUTED_VALUE"""),"Grimoire")</f>
        <v>Grimoire</v>
      </c>
      <c r="E26" s="13">
        <f>IFERROR(__xludf.DUMMYFUNCTION("""COMPUTED_VALUE"""),3.0)</f>
        <v>3</v>
      </c>
      <c r="F26" s="15" t="str">
        <f>IFERROR(__xludf.DUMMYFUNCTION("""COMPUTED_VALUE"""),"Uncommon")</f>
        <v>Uncommon</v>
      </c>
      <c r="G26" s="13">
        <f>IFERROR(__xludf.DUMMYFUNCTION("""COMPUTED_VALUE"""),1.0)</f>
        <v>1</v>
      </c>
      <c r="H26" s="13">
        <f>IFERROR(__xludf.DUMMYFUNCTION("""COMPUTED_VALUE"""),1.0)</f>
        <v>1</v>
      </c>
      <c r="I26" s="13" t="str">
        <f>IFERROR(__xludf.DUMMYFUNCTION("""COMPUTED_VALUE"""),"---")</f>
        <v>---</v>
      </c>
      <c r="J26" s="13" t="str">
        <f>IFERROR(__xludf.DUMMYFUNCTION("""COMPUTED_VALUE"""),"---")</f>
        <v>---</v>
      </c>
      <c r="K26" s="17" t="str">
        <f>IFERROR(__xludf.DUMMYFUNCTION("""COMPUTED_VALUE"""),"(ATK X) equal to the ATK of the last monster faced.")</f>
        <v>(ATK X) equal to the ATK of the last monster faced.</v>
      </c>
      <c r="L26" s="15" t="str">
        <f>IFERROR(__xludf.DUMMYFUNCTION("""COMPUTED_VALUE"""),"(Last Mob ATK)")</f>
        <v>(Last Mob ATK)</v>
      </c>
      <c r="M26" s="18" t="str">
        <f>IFERROR(__xludf.DUMMYFUNCTION("""COMPUTED_VALUE"""),"(Initial Value)
&gt;On Spin")</f>
        <v>(Initial Value)
&gt;On Spin</v>
      </c>
      <c r="N26" s="48" t="str">
        <f>IFERROR(__xludf.DUMMYFUNCTION("""COMPUTED_VALUE"""),"Its own ATK")</f>
        <v>Its own ATK</v>
      </c>
      <c r="O26" s="19" t="str">
        <f>IFERROR(__xludf.DUMMYFUNCTION("""COMPUTED_VALUE"""),"(Initial Value)
&gt;On Spin")</f>
        <v>(Initial Value)
&gt;On Spin</v>
      </c>
      <c r="P26" s="19" t="str">
        <f>IFERROR(__xludf.DUMMYFUNCTION("""COMPUTED_VALUE"""),"(Last Mob ATK)")</f>
        <v>(Last Mob ATK)</v>
      </c>
      <c r="Q26" s="41" t="str">
        <f>IFERROR(__xludf.DUMMYFUNCTION("""COMPUTED_VALUE"""),"Last Mob ATK: On Spin, immediately store the enemy's ATK in this value. Overwrite this value each time On Spin occurs.")</f>
        <v>Last Mob ATK: On Spin, immediately store the enemy's ATK in this value. Overwrite this value each time On Spin occurs.</v>
      </c>
      <c r="R26" s="28" t="str">
        <f>IFERROR(__xludf.DUMMYFUNCTION("""COMPUTED_VALUE"""),"This item's Initial Value is always zero (0).")</f>
        <v>This item's Initial Value is always zero (0).</v>
      </c>
      <c r="S26" s="23"/>
      <c r="T26" s="80"/>
      <c r="U26" s="32"/>
    </row>
    <row r="27">
      <c r="A27" s="42" t="b">
        <f>IFERROR(__xludf.DUMMYFUNCTION("""COMPUTED_VALUE"""),TRUE)</f>
        <v>1</v>
      </c>
      <c r="B27" s="43" t="b">
        <f>IFERROR(__xludf.DUMMYFUNCTION("""COMPUTED_VALUE"""),FALSE)</f>
        <v>0</v>
      </c>
      <c r="C27" s="44" t="str">
        <f>IFERROR(__xludf.DUMMYFUNCTION("""COMPUTED_VALUE"""),"I")</f>
        <v>I</v>
      </c>
      <c r="D27" s="45" t="str">
        <f>IFERROR(__xludf.DUMMYFUNCTION("""COMPUTED_VALUE"""),"Bloody Gauntlets")</f>
        <v>Bloody Gauntlets</v>
      </c>
      <c r="E27" s="13">
        <f>IFERROR(__xludf.DUMMYFUNCTION("""COMPUTED_VALUE"""),3.0)</f>
        <v>3</v>
      </c>
      <c r="F27" s="15" t="str">
        <f>IFERROR(__xludf.DUMMYFUNCTION("""COMPUTED_VALUE"""),"Uncommon")</f>
        <v>Uncommon</v>
      </c>
      <c r="G27" s="13">
        <f>IFERROR(__xludf.DUMMYFUNCTION("""COMPUTED_VALUE"""),1.0)</f>
        <v>1</v>
      </c>
      <c r="H27" s="13">
        <f>IFERROR(__xludf.DUMMYFUNCTION("""COMPUTED_VALUE"""),1.0)</f>
        <v>1</v>
      </c>
      <c r="I27" s="13" t="str">
        <f>IFERROR(__xludf.DUMMYFUNCTION("""COMPUTED_VALUE"""),"---")</f>
        <v>---</v>
      </c>
      <c r="J27" s="13" t="str">
        <f>IFERROR(__xludf.DUMMYFUNCTION("""COMPUTED_VALUE"""),"---")</f>
        <v>---</v>
      </c>
      <c r="K27" s="17" t="str">
        <f>IFERROR(__xludf.DUMMYFUNCTION("""COMPUTED_VALUE"""),"(ATK 7-X), where X is your HP.")</f>
        <v>(ATK 7-X), where X is your HP.</v>
      </c>
      <c r="L27" s="15" t="str">
        <f>IFERROR(__xludf.DUMMYFUNCTION("""COMPUTED_VALUE"""),"(HP)")</f>
        <v>(HP)</v>
      </c>
      <c r="M27" s="18" t="str">
        <f>IFERROR(__xludf.DUMMYFUNCTION("""COMPUTED_VALUE"""),"&gt;On Spin
&gt;On HP Change")</f>
        <v>&gt;On Spin
&gt;On HP Change</v>
      </c>
      <c r="N27" s="48" t="str">
        <f>IFERROR(__xludf.DUMMYFUNCTION("""COMPUTED_VALUE"""),"Its own ATK")</f>
        <v>Its own ATK</v>
      </c>
      <c r="O27" s="19" t="str">
        <f>IFERROR(__xludf.DUMMYFUNCTION("""COMPUTED_VALUE"""),"&gt;On Spin
&gt;On HP Change")</f>
        <v>&gt;On Spin
&gt;On HP Change</v>
      </c>
      <c r="P27" s="19" t="str">
        <f>IFERROR(__xludf.DUMMYFUNCTION("""COMPUTED_VALUE"""),"---")</f>
        <v>---</v>
      </c>
      <c r="Q27" s="41" t="str">
        <f>IFERROR(__xludf.DUMMYFUNCTION("""COMPUTED_VALUE"""),"---")</f>
        <v>---</v>
      </c>
      <c r="R27" s="28" t="str">
        <f>IFERROR(__xludf.DUMMYFUNCTION("""COMPUTED_VALUE"""),"---")</f>
        <v>---</v>
      </c>
      <c r="S27" s="29"/>
      <c r="T27" s="80"/>
      <c r="U27" s="30"/>
    </row>
    <row r="28">
      <c r="A28" s="42" t="b">
        <f>IFERROR(__xludf.DUMMYFUNCTION("""COMPUTED_VALUE"""),FALSE)</f>
        <v>0</v>
      </c>
      <c r="B28" s="43" t="b">
        <f>IFERROR(__xludf.DUMMYFUNCTION("""COMPUTED_VALUE"""),FALSE)</f>
        <v>0</v>
      </c>
      <c r="C28" s="44" t="str">
        <f>IFERROR(__xludf.DUMMYFUNCTION("""COMPUTED_VALUE"""),"I")</f>
        <v>I</v>
      </c>
      <c r="D28" s="45" t="str">
        <f>IFERROR(__xludf.DUMMYFUNCTION("""COMPUTED_VALUE"""),"Breastplate")</f>
        <v>Breastplate</v>
      </c>
      <c r="E28" s="13">
        <f>IFERROR(__xludf.DUMMYFUNCTION("""COMPUTED_VALUE"""),2.0)</f>
        <v>2</v>
      </c>
      <c r="F28" s="15" t="str">
        <f>IFERROR(__xludf.DUMMYFUNCTION("""COMPUTED_VALUE"""),"Starter")</f>
        <v>Starter</v>
      </c>
      <c r="G28" s="13">
        <f>IFERROR(__xludf.DUMMYFUNCTION("""COMPUTED_VALUE"""),2.0)</f>
        <v>2</v>
      </c>
      <c r="H28" s="13">
        <f>IFERROR(__xludf.DUMMYFUNCTION("""COMPUTED_VALUE"""),2.0)</f>
        <v>2</v>
      </c>
      <c r="I28" s="13" t="str">
        <f>IFERROR(__xludf.DUMMYFUNCTION("""COMPUTED_VALUE"""),"---")</f>
        <v>---</v>
      </c>
      <c r="J28" s="13" t="str">
        <f>IFERROR(__xludf.DUMMYFUNCTION("""COMPUTED_VALUE"""),"---")</f>
        <v>---</v>
      </c>
      <c r="K28" s="17" t="str">
        <f>IFERROR(__xludf.DUMMYFUNCTION("""COMPUTED_VALUE"""),"(BLK 2). If you lose HP this combat, keep this item.")</f>
        <v>(BLK 2). If you lose HP this combat, keep this item.</v>
      </c>
      <c r="L28" s="15" t="str">
        <f>IFERROR(__xludf.DUMMYFUNCTION("""COMPUTED_VALUE"""),"(Did lose HP?)")</f>
        <v>(Did lose HP?)</v>
      </c>
      <c r="M28" s="18" t="str">
        <f>IFERROR(__xludf.DUMMYFUNCTION("""COMPUTED_VALUE"""),"&gt;On Combat Resolve")</f>
        <v>&gt;On Combat Resolve</v>
      </c>
      <c r="N28" s="48" t="str">
        <f>IFERROR(__xludf.DUMMYFUNCTION("""COMPUTED_VALUE"""),"---")</f>
        <v>---</v>
      </c>
      <c r="O28" s="19" t="str">
        <f>IFERROR(__xludf.DUMMYFUNCTION("""COMPUTED_VALUE"""),"---")</f>
        <v>---</v>
      </c>
      <c r="P28" s="52" t="str">
        <f>IFERROR(__xludf.DUMMYFUNCTION("""COMPUTED_VALUE"""),"[Delayed Discard]
[Tap]
[Untap]")</f>
        <v>[Delayed Discard]
[Tap]
[Untap]</v>
      </c>
      <c r="Q28" s="41" t="str">
        <f>IFERROR(__xludf.DUMMYFUNCTION("""COMPUTED_VALUE"""),"Delayed Discard: Tap this item on use. By default, this item is Discarded (like most items) On Combat Resolve. If [Did Lose HP?] is met, then Untap the item instead of discarding it.
Did Lose HP?: Compare (HP) from On Spin versus On Combat Resolve. If th"&amp;"e value is less, then this criterion is met.")</f>
        <v>Delayed Discard: Tap this item on use. By default, this item is Discarded (like most items) On Combat Resolve. If [Did Lose HP?] is met, then Untap the item instead of discarding it.
Did Lose HP?: Compare (HP) from On Spin versus On Combat Resolve. If the value is less, then this criterion is met.</v>
      </c>
      <c r="R28" s="28" t="str">
        <f>IFERROR(__xludf.DUMMYFUNCTION("""COMPUTED_VALUE"""),"Edge Case: If the item Healing Potion was used this combat, then [Did Lose HP?] always returns True.")</f>
        <v>Edge Case: If the item Healing Potion was used this combat, then [Did Lose HP?] always returns True.</v>
      </c>
      <c r="S28" s="53"/>
      <c r="T28" s="80"/>
      <c r="U28" s="54"/>
    </row>
    <row r="29">
      <c r="A29" s="42" t="b">
        <f>IFERROR(__xludf.DUMMYFUNCTION("""COMPUTED_VALUE"""),TRUE)</f>
        <v>1</v>
      </c>
      <c r="B29" s="43" t="b">
        <f>IFERROR(__xludf.DUMMYFUNCTION("""COMPUTED_VALUE"""),FALSE)</f>
        <v>0</v>
      </c>
      <c r="C29" s="44" t="str">
        <f>IFERROR(__xludf.DUMMYFUNCTION("""COMPUTED_VALUE"""),"I")</f>
        <v>I</v>
      </c>
      <c r="D29" s="14" t="str">
        <f>IFERROR(__xludf.DUMMYFUNCTION("""COMPUTED_VALUE"""),"Bracers")</f>
        <v>Bracers</v>
      </c>
      <c r="E29" s="13">
        <f>IFERROR(__xludf.DUMMYFUNCTION("""COMPUTED_VALUE"""),3.0)</f>
        <v>3</v>
      </c>
      <c r="F29" s="15" t="str">
        <f>IFERROR(__xludf.DUMMYFUNCTION("""COMPUTED_VALUE"""),"Starter")</f>
        <v>Starter</v>
      </c>
      <c r="G29" s="13">
        <f>IFERROR(__xludf.DUMMYFUNCTION("""COMPUTED_VALUE"""),2.0)</f>
        <v>2</v>
      </c>
      <c r="H29" s="13">
        <f>IFERROR(__xludf.DUMMYFUNCTION("""COMPUTED_VALUE"""),2.0)</f>
        <v>2</v>
      </c>
      <c r="I29" s="13" t="str">
        <f>IFERROR(__xludf.DUMMYFUNCTION("""COMPUTED_VALUE"""),"---")</f>
        <v>---</v>
      </c>
      <c r="J29" s="13" t="str">
        <f>IFERROR(__xludf.DUMMYFUNCTION("""COMPUTED_VALUE"""),"---")</f>
        <v>---</v>
      </c>
      <c r="K29" s="18" t="str">
        <f>IFERROR(__xludf.DUMMYFUNCTION("""COMPUTED_VALUE"""),"(BLK X) equal to the ATK of the weakest neighboring enemy.")</f>
        <v>(BLK X) equal to the ATK of the weakest neighboring enemy.</v>
      </c>
      <c r="L29" s="15" t="str">
        <f>IFERROR(__xludf.DUMMYFUNCTION("""COMPUTED_VALUE"""),"[Neighbors' lowest ATK]")</f>
        <v>[Neighbors' lowest ATK]</v>
      </c>
      <c r="M29" s="18" t="str">
        <f>IFERROR(__xludf.DUMMYFUNCTION("""COMPUTED_VALUE"""),"&gt;On Spin")</f>
        <v>&gt;On Spin</v>
      </c>
      <c r="N29" s="18" t="str">
        <f>IFERROR(__xludf.DUMMYFUNCTION("""COMPUTED_VALUE"""),"Its own BLK")</f>
        <v>Its own BLK</v>
      </c>
      <c r="O29" s="19" t="str">
        <f>IFERROR(__xludf.DUMMYFUNCTION("""COMPUTED_VALUE"""),"&gt;On Spin")</f>
        <v>&gt;On Spin</v>
      </c>
      <c r="P29" s="19" t="str">
        <f>IFERROR(__xludf.DUMMYFUNCTION("""COMPUTED_VALUE"""),"---")</f>
        <v>---</v>
      </c>
      <c r="Q29" s="41" t="str">
        <f>IFERROR(__xludf.DUMMYFUNCTION("""COMPUTED_VALUE"""),"---")</f>
        <v>---</v>
      </c>
      <c r="R29" s="26" t="str">
        <f>IFERROR(__xludf.DUMMYFUNCTION("""COMPUTED_VALUE"""),"Edge Case: When fighting the final enemy, this item becomes unusable.")</f>
        <v>Edge Case: When fighting the final enemy, this item becomes unusable.</v>
      </c>
      <c r="S29" s="23"/>
      <c r="T29" s="80">
        <v>44675.0</v>
      </c>
      <c r="U29" s="24" t="s">
        <v>224</v>
      </c>
    </row>
    <row r="30">
      <c r="A30" s="42" t="b">
        <f>IFERROR(__xludf.DUMMYFUNCTION("""COMPUTED_VALUE"""),FALSE)</f>
        <v>0</v>
      </c>
      <c r="B30" s="43" t="b">
        <f>IFERROR(__xludf.DUMMYFUNCTION("""COMPUTED_VALUE"""),FALSE)</f>
        <v>0</v>
      </c>
      <c r="C30" s="44" t="str">
        <f>IFERROR(__xludf.DUMMYFUNCTION("""COMPUTED_VALUE"""),"I")</f>
        <v>I</v>
      </c>
      <c r="D30" s="45" t="str">
        <f>IFERROR(__xludf.DUMMYFUNCTION("""COMPUTED_VALUE"""),"Smoke Bomb")</f>
        <v>Smoke Bomb</v>
      </c>
      <c r="E30" s="13">
        <f>IFERROR(__xludf.DUMMYFUNCTION("""COMPUTED_VALUE"""),4.0)</f>
        <v>4</v>
      </c>
      <c r="F30" s="15" t="str">
        <f>IFERROR(__xludf.DUMMYFUNCTION("""COMPUTED_VALUE"""),"Uncommon")</f>
        <v>Uncommon</v>
      </c>
      <c r="G30" s="13">
        <f>IFERROR(__xludf.DUMMYFUNCTION("""COMPUTED_VALUE"""),2.0)</f>
        <v>2</v>
      </c>
      <c r="H30" s="13">
        <f>IFERROR(__xludf.DUMMYFUNCTION("""COMPUTED_VALUE"""),1.0)</f>
        <v>1</v>
      </c>
      <c r="I30" s="13" t="str">
        <f>IFERROR(__xludf.DUMMYFUNCTION("""COMPUTED_VALUE"""),"---")</f>
        <v>---</v>
      </c>
      <c r="J30" s="13" t="str">
        <f>IFERROR(__xludf.DUMMYFUNCTION("""COMPUTED_VALUE"""),"---")</f>
        <v>---</v>
      </c>
      <c r="K30" s="17" t="str">
        <f>IFERROR(__xludf.DUMMYFUNCTION("""COMPUTED_VALUE"""),"Re-roll the encounter, then Gain 1 Random Item.")</f>
        <v>Re-roll the encounter, then Gain 1 Random Item.</v>
      </c>
      <c r="L30" s="15" t="str">
        <f>IFERROR(__xludf.DUMMYFUNCTION("""COMPUTED_VALUE"""),"---")</f>
        <v>---</v>
      </c>
      <c r="M30" s="18" t="str">
        <f>IFERROR(__xludf.DUMMYFUNCTION("""COMPUTED_VALUE"""),"---")</f>
        <v>---</v>
      </c>
      <c r="N30" s="18" t="str">
        <f>IFERROR(__xludf.DUMMYFUNCTION("""COMPUTED_VALUE"""),"---")</f>
        <v>---</v>
      </c>
      <c r="O30" s="19" t="str">
        <f>IFERROR(__xludf.DUMMYFUNCTION("""COMPUTED_VALUE"""),"---")</f>
        <v>---</v>
      </c>
      <c r="P30" s="19" t="str">
        <f>IFERROR(__xludf.DUMMYFUNCTION("""COMPUTED_VALUE"""),"[Spin Again]
[Gain 1 Item]")</f>
        <v>[Spin Again]
[Gain 1 Item]</v>
      </c>
      <c r="Q30" s="41" t="str">
        <f>IFERROR(__xludf.DUMMYFUNCTION("""COMPUTED_VALUE"""),"Spin Again - Immediately end combat. Do not resolve combat in any way. Spin again, and guarantee that the same slice is not spun again.
Gain 1 Item - Draws 1 Random item (tier-agnostic) from the pool of items that have not been drawn in this dungeon yet.")</f>
        <v>Spin Again - Immediately end combat. Do not resolve combat in any way. Spin again, and guarantee that the same slice is not spun again.
Gain 1 Item - Draws 1 Random item (tier-agnostic) from the pool of items that have not been drawn in this dungeon yet.</v>
      </c>
      <c r="R30" s="28" t="str">
        <f>IFERROR(__xludf.DUMMYFUNCTION("""COMPUTED_VALUE"""),"---")</f>
        <v>---</v>
      </c>
      <c r="S30" s="53"/>
      <c r="T30" s="80"/>
      <c r="U30" s="54"/>
    </row>
    <row r="31">
      <c r="A31" s="42" t="b">
        <f>IFERROR(__xludf.DUMMYFUNCTION("""COMPUTED_VALUE"""),TRUE)</f>
        <v>1</v>
      </c>
      <c r="B31" s="43" t="b">
        <f>IFERROR(__xludf.DUMMYFUNCTION("""COMPUTED_VALUE"""),FALSE)</f>
        <v>0</v>
      </c>
      <c r="C31" s="44" t="str">
        <f>IFERROR(__xludf.DUMMYFUNCTION("""COMPUTED_VALUE"""),"I")</f>
        <v>I</v>
      </c>
      <c r="D31" s="45" t="str">
        <f>IFERROR(__xludf.DUMMYFUNCTION("""COMPUTED_VALUE"""),"Knucklers")</f>
        <v>Knucklers</v>
      </c>
      <c r="E31" s="13">
        <f>IFERROR(__xludf.DUMMYFUNCTION("""COMPUTED_VALUE"""),3.0)</f>
        <v>3</v>
      </c>
      <c r="F31" s="15" t="str">
        <f>IFERROR(__xludf.DUMMYFUNCTION("""COMPUTED_VALUE"""),"Starter")</f>
        <v>Starter</v>
      </c>
      <c r="G31" s="13">
        <f>IFERROR(__xludf.DUMMYFUNCTION("""COMPUTED_VALUE"""),2.0)</f>
        <v>2</v>
      </c>
      <c r="H31" s="13">
        <f>IFERROR(__xludf.DUMMYFUNCTION("""COMPUTED_VALUE"""),2.0)</f>
        <v>2</v>
      </c>
      <c r="I31" s="13" t="str">
        <f>IFERROR(__xludf.DUMMYFUNCTION("""COMPUTED_VALUE"""),"---")</f>
        <v>---</v>
      </c>
      <c r="J31" s="13" t="str">
        <f>IFERROR(__xludf.DUMMYFUNCTION("""COMPUTED_VALUE"""),"---")</f>
        <v>---</v>
      </c>
      <c r="K31" s="17" t="str">
        <f>IFERROR(__xludf.DUMMYFUNCTION("""COMPUTED_VALUE"""),"(ATK 7-X), where X is the number of items you have at the start of combat.")</f>
        <v>(ATK 7-X), where X is the number of items you have at the start of combat.</v>
      </c>
      <c r="L31" s="15" t="str">
        <f>IFERROR(__xludf.DUMMYFUNCTION("""COMPUTED_VALUE"""),"(# Items)")</f>
        <v>(# Items)</v>
      </c>
      <c r="M31" s="18" t="str">
        <f>IFERROR(__xludf.DUMMYFUNCTION("""COMPUTED_VALUE"""),"&gt;On Draft
&gt;On Spin")</f>
        <v>&gt;On Draft
&gt;On Spin</v>
      </c>
      <c r="N31" s="48" t="str">
        <f>IFERROR(__xludf.DUMMYFUNCTION("""COMPUTED_VALUE"""),"Its own ATK")</f>
        <v>Its own ATK</v>
      </c>
      <c r="O31" s="19" t="str">
        <f>IFERROR(__xludf.DUMMYFUNCTION("""COMPUTED_VALUE"""),"&gt;On Spin
&gt;On HP Change
&gt;On Enemy HP Change")</f>
        <v>&gt;On Spin
&gt;On HP Change
&gt;On Enemy HP Change</v>
      </c>
      <c r="P31" s="52" t="str">
        <f>IFERROR(__xludf.DUMMYFUNCTION("""COMPUTED_VALUE"""),"(HP Delta)")</f>
        <v>(HP Delta)</v>
      </c>
      <c r="Q31" s="22" t="str">
        <f>IFERROR(__xludf.DUMMYFUNCTION("""COMPUTED_VALUE"""),"[HP Delta] - Takes the absolute value (i.e. positive or negative) of the delta between the player and enemy's HP.")</f>
        <v>[HP Delta] - Takes the absolute value (i.e. positive or negative) of the delta between the player and enemy's HP.</v>
      </c>
      <c r="R31" s="22" t="str">
        <f>IFERROR(__xludf.DUMMYFUNCTION("""COMPUTED_VALUE"""),"---")</f>
        <v>---</v>
      </c>
      <c r="S31" s="40"/>
      <c r="T31" s="80">
        <v>44683.0</v>
      </c>
      <c r="U31" s="86" t="s">
        <v>225</v>
      </c>
    </row>
    <row r="32">
      <c r="A32" s="42" t="b">
        <f>IFERROR(__xludf.DUMMYFUNCTION("""COMPUTED_VALUE"""),TRUE)</f>
        <v>1</v>
      </c>
      <c r="B32" s="43" t="b">
        <f>IFERROR(__xludf.DUMMYFUNCTION("""COMPUTED_VALUE"""),FALSE)</f>
        <v>0</v>
      </c>
      <c r="C32" s="44" t="str">
        <f>IFERROR(__xludf.DUMMYFUNCTION("""COMPUTED_VALUE"""),"I")</f>
        <v>I</v>
      </c>
      <c r="D32" s="14" t="str">
        <f>IFERROR(__xludf.DUMMYFUNCTION("""COMPUTED_VALUE"""),"Fangs")</f>
        <v>Fangs</v>
      </c>
      <c r="E32" s="13">
        <f>IFERROR(__xludf.DUMMYFUNCTION("""COMPUTED_VALUE"""),4.0)</f>
        <v>4</v>
      </c>
      <c r="F32" s="15" t="str">
        <f>IFERROR(__xludf.DUMMYFUNCTION("""COMPUTED_VALUE"""),"Uncommon")</f>
        <v>Uncommon</v>
      </c>
      <c r="G32" s="13">
        <f>IFERROR(__xludf.DUMMYFUNCTION("""COMPUTED_VALUE"""),2.0)</f>
        <v>2</v>
      </c>
      <c r="H32" s="13">
        <f>IFERROR(__xludf.DUMMYFUNCTION("""COMPUTED_VALUE"""),2.0)</f>
        <v>2</v>
      </c>
      <c r="I32" s="13" t="str">
        <f>IFERROR(__xludf.DUMMYFUNCTION("""COMPUTED_VALUE"""),"---")</f>
        <v>---</v>
      </c>
      <c r="J32" s="13" t="str">
        <f>IFERROR(__xludf.DUMMYFUNCTION("""COMPUTED_VALUE"""),"---")</f>
        <v>---</v>
      </c>
      <c r="K32" s="17" t="str">
        <f>IFERROR(__xludf.DUMMYFUNCTION("""COMPUTED_VALUE"""),"Receive DMG equal to enemy ATK, then Defeat the enemy and Heal equal to their HP 
(up to your Max HP).")</f>
        <v>Receive DMG equal to enemy ATK, then Defeat the enemy and Heal equal to their HP 
(up to your Max HP).</v>
      </c>
      <c r="L32" s="15" t="str">
        <f>IFERROR(__xludf.DUMMYFUNCTION("""COMPUTED_VALUE"""),"---")</f>
        <v>---</v>
      </c>
      <c r="M32" s="18" t="str">
        <f>IFERROR(__xludf.DUMMYFUNCTION("""COMPUTED_VALUE"""),"---")</f>
        <v>---</v>
      </c>
      <c r="N32" s="18" t="str">
        <f>IFERROR(__xludf.DUMMYFUNCTION("""COMPUTED_VALUE"""),"[Fange DMG]")</f>
        <v>[Fange DMG]</v>
      </c>
      <c r="O32" s="19" t="str">
        <f>IFERROR(__xludf.DUMMYFUNCTION("""COMPUTED_VALUE"""),"&gt;On Enemy ATK Change")</f>
        <v>&gt;On Enemy ATK Change</v>
      </c>
      <c r="P32" s="49" t="str">
        <f>IFERROR(__xludf.DUMMYFUNCTION("""COMPUTED_VALUE"""),"[Fangs DMG]
[Fangs Healing]")</f>
        <v>[Fangs DMG]
[Fangs Healing]</v>
      </c>
      <c r="Q32" s="41" t="str">
        <f>IFERROR(__xludf.DUMMYFUNCTION("""COMPUTED_VALUE"""),"On item use, store (Enemy current HP) to be used later.
[Fangs DMG]: When used, immediately receive ATK equal to enemy ATK (this can be blocked, like during Resolve Combat)
[Fangs Healing]: Immediately after [Fangs DMG] and after checks like (Player Dea"&amp;"d?), Heal equal to (Enemy current HP). Player HP can never exceed 6.")</f>
        <v>On item use, store (Enemy current HP) to be used later.
[Fangs DMG]: When used, immediately receive ATK equal to enemy ATK (this can be blocked, like during Resolve Combat)
[Fangs Healing]: Immediately after [Fangs DMG] and after checks like (Player Dead?), Heal equal to (Enemy current HP). Player HP can never exceed 6.</v>
      </c>
      <c r="R32" s="70" t="str">
        <f>IFERROR(__xludf.DUMMYFUNCTION("""COMPUTED_VALUE"""),"Edge Case: If Fangs is used and it would kill the player, the order of resolution is:
[Healing Potion], then 
[Fangs Healing].")</f>
        <v>Edge Case: If Fangs is used and it would kill the player, the order of resolution is:
[Healing Potion], then 
[Fangs Healing].</v>
      </c>
      <c r="S32" s="63"/>
      <c r="T32" s="80"/>
      <c r="U32" s="64"/>
    </row>
    <row r="33">
      <c r="A33" s="42" t="b">
        <f>IFERROR(__xludf.DUMMYFUNCTION("""COMPUTED_VALUE"""),FALSE)</f>
        <v>0</v>
      </c>
      <c r="B33" s="43" t="b">
        <f>IFERROR(__xludf.DUMMYFUNCTION("""COMPUTED_VALUE"""),FALSE)</f>
        <v>0</v>
      </c>
      <c r="C33" s="44" t="str">
        <f>IFERROR(__xludf.DUMMYFUNCTION("""COMPUTED_VALUE"""),"I")</f>
        <v>I</v>
      </c>
      <c r="D33" s="14" t="str">
        <f>IFERROR(__xludf.DUMMYFUNCTION("""COMPUTED_VALUE"""),"Poison Flask")</f>
        <v>Poison Flask</v>
      </c>
      <c r="E33" s="13">
        <f>IFERROR(__xludf.DUMMYFUNCTION("""COMPUTED_VALUE"""),4.0)</f>
        <v>4</v>
      </c>
      <c r="F33" s="15" t="str">
        <f>IFERROR(__xludf.DUMMYFUNCTION("""COMPUTED_VALUE"""),"Uncommon")</f>
        <v>Uncommon</v>
      </c>
      <c r="G33" s="13">
        <f>IFERROR(__xludf.DUMMYFUNCTION("""COMPUTED_VALUE"""),2.0)</f>
        <v>2</v>
      </c>
      <c r="H33" s="13">
        <f>IFERROR(__xludf.DUMMYFUNCTION("""COMPUTED_VALUE"""),2.0)</f>
        <v>2</v>
      </c>
      <c r="I33" s="13" t="str">
        <f>IFERROR(__xludf.DUMMYFUNCTION("""COMPUTED_VALUE"""),"---")</f>
        <v>---</v>
      </c>
      <c r="J33" s="13" t="str">
        <f>IFERROR(__xludf.DUMMYFUNCTION("""COMPUTED_VALUE"""),"---")</f>
        <v>---</v>
      </c>
      <c r="K33" s="17" t="str">
        <f>IFERROR(__xludf.DUMMYFUNCTION("""COMPUTED_VALUE"""),"Choose a neighbor. Once they appear in combat, they lose 5 HP instantly.")</f>
        <v>Choose a neighbor. Once they appear in combat, they lose 5 HP instantly.</v>
      </c>
      <c r="L33" s="15" t="str">
        <f>IFERROR(__xludf.DUMMYFUNCTION("""COMPUTED_VALUE"""),"---")</f>
        <v>---</v>
      </c>
      <c r="M33" s="18" t="str">
        <f>IFERROR(__xludf.DUMMYFUNCTION("""COMPUTED_VALUE"""),"---")</f>
        <v>---</v>
      </c>
      <c r="N33" s="48" t="str">
        <f>IFERROR(__xludf.DUMMYFUNCTION("""COMPUTED_VALUE"""),"[Choose Neighbor]
Options")</f>
        <v>[Choose Neighbor]
Options</v>
      </c>
      <c r="O33" s="19" t="str">
        <f>IFERROR(__xludf.DUMMYFUNCTION("""COMPUTED_VALUE"""),"&gt;On Spin")</f>
        <v>&gt;On Spin</v>
      </c>
      <c r="P33" s="49" t="str">
        <f>IFERROR(__xludf.DUMMYFUNCTION("""COMPUTED_VALUE"""),"[Choose Neighbor]
[Poison]")</f>
        <v>[Choose Neighbor]
[Poison]</v>
      </c>
      <c r="Q33" s="41" t="str">
        <f>IFERROR(__xludf.DUMMYFUNCTION("""COMPUTED_VALUE"""),"[Choose Neighbor] - A prompt appears and allows the player to select a Neighbor to the current enemy.
[Poison] - Set a (Poisoned) state on that enemy. When that enemy appears On Spin, they immediately lose 5 HP. This may kill the enemy, which would jump "&amp;"the player straight to Resolve Combat.")</f>
        <v>[Choose Neighbor] - A prompt appears and allows the player to select a Neighbor to the current enemy.
[Poison] - Set a (Poisoned) state on that enemy. When that enemy appears On Spin, they immediately lose 5 HP. This may kill the enemy, which would jump the player straight to Resolve Combat.</v>
      </c>
      <c r="R33" s="28" t="str">
        <f>IFERROR(__xludf.DUMMYFUNCTION("""COMPUTED_VALUE"""),"Edge Case: If there are 0 neighbors (this is the last enemy), this item is unusable  
Edge Case: If the player has already used Crossbow on a neighbor, remove them from [Choose Neighbor].
Edge Case: The term ""lose HP"" is not considered ATK Dmg - in ot"&amp;"her words, this item can be used to kill Goblin.")</f>
        <v>Edge Case: If there are 0 neighbors (this is the last enemy), this item is unusable  
Edge Case: If the player has already used Crossbow on a neighbor, remove them from [Choose Neighbor].
Edge Case: The term "lose HP" is not considered ATK Dmg - in other words, this item can be used to kill Goblin.</v>
      </c>
      <c r="S33" s="50"/>
      <c r="T33" s="80">
        <v>44683.0</v>
      </c>
      <c r="U33" s="87" t="s">
        <v>226</v>
      </c>
    </row>
    <row r="34">
      <c r="A34" s="42" t="b">
        <f>IFERROR(__xludf.DUMMYFUNCTION("""COMPUTED_VALUE"""),TRUE)</f>
        <v>1</v>
      </c>
      <c r="B34" s="43" t="b">
        <f>IFERROR(__xludf.DUMMYFUNCTION("""COMPUTED_VALUE"""),FALSE)</f>
        <v>0</v>
      </c>
      <c r="C34" s="44" t="str">
        <f>IFERROR(__xludf.DUMMYFUNCTION("""COMPUTED_VALUE"""),"I")</f>
        <v>I</v>
      </c>
      <c r="D34" s="14" t="str">
        <f>IFERROR(__xludf.DUMMYFUNCTION("""COMPUTED_VALUE"""),"Cursed Scroll")</f>
        <v>Cursed Scroll</v>
      </c>
      <c r="E34" s="13">
        <f>IFERROR(__xludf.DUMMYFUNCTION("""COMPUTED_VALUE"""),4.0)</f>
        <v>4</v>
      </c>
      <c r="F34" s="66" t="str">
        <f>IFERROR(__xludf.DUMMYFUNCTION("""COMPUTED_VALUE"""),"Uncommon")</f>
        <v>Uncommon</v>
      </c>
      <c r="G34" s="13">
        <f>IFERROR(__xludf.DUMMYFUNCTION("""COMPUTED_VALUE"""),2.0)</f>
        <v>2</v>
      </c>
      <c r="H34" s="13">
        <f>IFERROR(__xludf.DUMMYFUNCTION("""COMPUTED_VALUE"""),1.0)</f>
        <v>1</v>
      </c>
      <c r="I34" s="13" t="str">
        <f>IFERROR(__xludf.DUMMYFUNCTION("""COMPUTED_VALUE"""),"---")</f>
        <v>---</v>
      </c>
      <c r="J34" s="13" t="str">
        <f>IFERROR(__xludf.DUMMYFUNCTION("""COMPUTED_VALUE"""),"---")</f>
        <v>---</v>
      </c>
      <c r="K34" s="17" t="str">
        <f>IFERROR(__xludf.DUMMYFUNCTION("""COMPUTED_VALUE"""),"At the start of each combat, lose 1 HP. On use, heal your HP to up to full (6). ")</f>
        <v>At the start of each combat, lose 1 HP. On use, heal your HP to up to full (6). </v>
      </c>
      <c r="L34" s="15" t="str">
        <f>IFERROR(__xludf.DUMMYFUNCTION("""COMPUTED_VALUE"""),"---")</f>
        <v>---</v>
      </c>
      <c r="M34" s="46" t="str">
        <f>IFERROR(__xludf.DUMMYFUNCTION("""COMPUTED_VALUE"""),"---")</f>
        <v>---</v>
      </c>
      <c r="N34" s="88" t="str">
        <f>IFERROR(__xludf.DUMMYFUNCTION("""COMPUTED_VALUE"""),"(HP)")</f>
        <v>(HP)</v>
      </c>
      <c r="O34" s="19" t="str">
        <f>IFERROR(__xludf.DUMMYFUNCTION("""COMPUTED_VALUE"""),"&gt;On Spin")</f>
        <v>&gt;On Spin</v>
      </c>
      <c r="P34" s="52" t="str">
        <f>IFERROR(__xludf.DUMMYFUNCTION("""COMPUTED_VALUE"""),"(HP)
(Full HP)")</f>
        <v>(HP)
(Full HP)</v>
      </c>
      <c r="Q34" s="22" t="str">
        <f>IFERROR(__xludf.DUMMYFUNCTION("""COMPUTED_VALUE"""),"While Cursed Scroll is in the player's inventory (i.e. has not been used), the player will always Lose 1 HP triggered On Spin (after combat has begun).")</f>
        <v>While Cursed Scroll is in the player's inventory (i.e. has not been used), the player will always Lose 1 HP triggered On Spin (after combat has begun).</v>
      </c>
      <c r="R34" s="22" t="str">
        <f>IFERROR(__xludf.DUMMYFUNCTION("""COMPUTED_VALUE"""),"Edge Case: Losing 1 HP from Cursed Scroll should count for (Did Lose HP?), making this synergistic with Breastplate.")</f>
        <v>Edge Case: Losing 1 HP from Cursed Scroll should count for (Did Lose HP?), making this synergistic with Breastplate.</v>
      </c>
      <c r="S34" s="23"/>
      <c r="T34" s="80"/>
      <c r="U34" s="32"/>
    </row>
    <row r="35">
      <c r="A35" s="42" t="b">
        <f>IFERROR(__xludf.DUMMYFUNCTION("""COMPUTED_VALUE"""),TRUE)</f>
        <v>1</v>
      </c>
      <c r="B35" s="43" t="b">
        <f>IFERROR(__xludf.DUMMYFUNCTION("""COMPUTED_VALUE"""),FALSE)</f>
        <v>0</v>
      </c>
      <c r="C35" s="44" t="str">
        <f>IFERROR(__xludf.DUMMYFUNCTION("""COMPUTED_VALUE"""),"I")</f>
        <v>I</v>
      </c>
      <c r="D35" s="14" t="str">
        <f>IFERROR(__xludf.DUMMYFUNCTION("""COMPUTED_VALUE"""),"Spiked Flail")</f>
        <v>Spiked Flail</v>
      </c>
      <c r="E35" s="13">
        <f>IFERROR(__xludf.DUMMYFUNCTION("""COMPUTED_VALUE"""),4.0)</f>
        <v>4</v>
      </c>
      <c r="F35" s="15" t="str">
        <f>IFERROR(__xludf.DUMMYFUNCTION("""COMPUTED_VALUE"""),"Starter")</f>
        <v>Starter</v>
      </c>
      <c r="G35" s="13">
        <f>IFERROR(__xludf.DUMMYFUNCTION("""COMPUTED_VALUE"""),3.0)</f>
        <v>3</v>
      </c>
      <c r="H35" s="13">
        <f>IFERROR(__xludf.DUMMYFUNCTION("""COMPUTED_VALUE"""),1.0)</f>
        <v>1</v>
      </c>
      <c r="I35" s="13" t="str">
        <f>IFERROR(__xludf.DUMMYFUNCTION("""COMPUTED_VALUE"""),"---")</f>
        <v>---</v>
      </c>
      <c r="J35" s="13" t="str">
        <f>IFERROR(__xludf.DUMMYFUNCTION("""COMPUTED_VALUE"""),"---")</f>
        <v>---</v>
      </c>
      <c r="K35" s="17" t="str">
        <f>IFERROR(__xludf.DUMMYFUNCTION("""COMPUTED_VALUE"""),"(ATK 2+X), where X is the number of monsters you have defeated.")</f>
        <v>(ATK 2+X), where X is the number of monsters you have defeated.</v>
      </c>
      <c r="L35" s="15" t="str">
        <f>IFERROR(__xludf.DUMMYFUNCTION("""COMPUTED_VALUE"""),"(# Mob Defeated)")</f>
        <v>(# Mob Defeated)</v>
      </c>
      <c r="M35" s="18" t="str">
        <f>IFERROR(__xludf.DUMMYFUNCTION("""COMPUTED_VALUE"""),"&gt;On Remove Slice")</f>
        <v>&gt;On Remove Slice</v>
      </c>
      <c r="N35" s="48" t="str">
        <f>IFERROR(__xludf.DUMMYFUNCTION("""COMPUTED_VALUE"""),"Its own ATK")</f>
        <v>Its own ATK</v>
      </c>
      <c r="O35" s="19" t="str">
        <f>IFERROR(__xludf.DUMMYFUNCTION("""COMPUTED_VALUE"""),"&gt;On Remove Slice")</f>
        <v>&gt;On Remove Slice</v>
      </c>
      <c r="P35" s="52" t="str">
        <f>IFERROR(__xludf.DUMMYFUNCTION("""COMPUTED_VALUE"""),"[Highest HP]")</f>
        <v>[Highest HP]</v>
      </c>
      <c r="Q35" s="22" t="str">
        <f>IFERROR(__xludf.DUMMYFUNCTION("""COMPUTED_VALUE"""),"[Highest HP]: Compares the player's current HP against the enemy's current HP and takes the higher value as X (or the Player's value if tied).
This ""check"" occurs every time the enemy's HP changes, or the player's HP changes.")</f>
        <v>[Highest HP]: Compares the player's current HP against the enemy's current HP and takes the higher value as X (or the Player's value if tied).
This "check" occurs every time the enemy's HP changes, or the player's HP changes.</v>
      </c>
      <c r="R35" s="22"/>
      <c r="S35" s="23"/>
      <c r="T35" s="80">
        <v>44675.0</v>
      </c>
      <c r="U35" s="24" t="s">
        <v>227</v>
      </c>
    </row>
    <row r="36">
      <c r="A36" s="42" t="b">
        <f>IFERROR(__xludf.DUMMYFUNCTION("""COMPUTED_VALUE"""),FALSE)</f>
        <v>0</v>
      </c>
      <c r="B36" s="43" t="b">
        <f>IFERROR(__xludf.DUMMYFUNCTION("""COMPUTED_VALUE"""),FALSE)</f>
        <v>0</v>
      </c>
      <c r="C36" s="44" t="str">
        <f>IFERROR(__xludf.DUMMYFUNCTION("""COMPUTED_VALUE"""),"I")</f>
        <v>I</v>
      </c>
      <c r="D36" s="14" t="str">
        <f>IFERROR(__xludf.DUMMYFUNCTION("""COMPUTED_VALUE"""),"Healing Potion")</f>
        <v>Healing Potion</v>
      </c>
      <c r="E36" s="13">
        <f>IFERROR(__xludf.DUMMYFUNCTION("""COMPUTED_VALUE"""),3.0)</f>
        <v>3</v>
      </c>
      <c r="F36" s="15" t="str">
        <f>IFERROR(__xludf.DUMMYFUNCTION("""COMPUTED_VALUE"""),"Uncommon")</f>
        <v>Uncommon</v>
      </c>
      <c r="G36" s="13">
        <f>IFERROR(__xludf.DUMMYFUNCTION("""COMPUTED_VALUE"""),3.0)</f>
        <v>3</v>
      </c>
      <c r="H36" s="13">
        <f>IFERROR(__xludf.DUMMYFUNCTION("""COMPUTED_VALUE"""),1.0)</f>
        <v>1</v>
      </c>
      <c r="I36" s="13" t="str">
        <f>IFERROR(__xludf.DUMMYFUNCTION("""COMPUTED_VALUE"""),"---")</f>
        <v>---</v>
      </c>
      <c r="J36" s="13" t="str">
        <f>IFERROR(__xludf.DUMMYFUNCTION("""COMPUTED_VALUE"""),"---")</f>
        <v>---</v>
      </c>
      <c r="K36" s="17" t="str">
        <f>IFERROR(__xludf.DUMMYFUNCTION("""COMPUTED_VALUE"""),"Unplayable. 
When you would die, discard this and heal up to 3 HP.")</f>
        <v>Unplayable. 
When you would die, discard this and heal up to 3 HP.</v>
      </c>
      <c r="L36" s="15" t="str">
        <f>IFERROR(__xludf.DUMMYFUNCTION("""COMPUTED_VALUE"""),"(HP)
(Player Dead?)")</f>
        <v>(HP)
(Player Dead?)</v>
      </c>
      <c r="M36" s="18" t="str">
        <f>IFERROR(__xludf.DUMMYFUNCTION("""COMPUTED_VALUE"""),"&gt;On HP Change")</f>
        <v>&gt;On HP Change</v>
      </c>
      <c r="N36" s="48" t="str">
        <f>IFERROR(__xludf.DUMMYFUNCTION("""COMPUTED_VALUE"""),"---")</f>
        <v>---</v>
      </c>
      <c r="O36" s="19" t="str">
        <f>IFERROR(__xludf.DUMMYFUNCTION("""COMPUTED_VALUE"""),"---")</f>
        <v>---</v>
      </c>
      <c r="P36" s="19" t="str">
        <f>IFERROR(__xludf.DUMMYFUNCTION("""COMPUTED_VALUE"""),"[Healing Potion]")</f>
        <v>[Healing Potion]</v>
      </c>
      <c r="Q36" s="41" t="str">
        <f>IFERROR(__xludf.DUMMYFUNCTION("""COMPUTED_VALUE"""),"Healing Potion If player HP ever equals 0, immediately Discard this item and set the player's HP ot 4.")</f>
        <v>Healing Potion If player HP ever equals 0, immediately Discard this item and set the player's HP ot 4.</v>
      </c>
      <c r="R36" s="28" t="str">
        <f>IFERROR(__xludf.DUMMYFUNCTION("""COMPUTED_VALUE"""),"Edge Case: If Fangs is used and it would kill the player, the order of resolution is:
[Healing Potion], then 
[Fangs Healing].")</f>
        <v>Edge Case: If Fangs is used and it would kill the player, the order of resolution is:
[Healing Potion], then 
[Fangs Healing].</v>
      </c>
      <c r="S36" s="63"/>
      <c r="T36" s="80"/>
      <c r="U36" s="64"/>
    </row>
    <row r="37">
      <c r="A37" s="42" t="b">
        <f>IFERROR(__xludf.DUMMYFUNCTION("""COMPUTED_VALUE"""),FALSE)</f>
        <v>0</v>
      </c>
      <c r="B37" s="43" t="b">
        <f>IFERROR(__xludf.DUMMYFUNCTION("""COMPUTED_VALUE"""),FALSE)</f>
        <v>0</v>
      </c>
      <c r="C37" s="44" t="str">
        <f>IFERROR(__xludf.DUMMYFUNCTION("""COMPUTED_VALUE"""),"I")</f>
        <v>I</v>
      </c>
      <c r="D37" s="14" t="str">
        <f>IFERROR(__xludf.DUMMYFUNCTION("""COMPUTED_VALUE"""),"Crossbow")</f>
        <v>Crossbow</v>
      </c>
      <c r="E37" s="13">
        <f>IFERROR(__xludf.DUMMYFUNCTION("""COMPUTED_VALUE"""),4.0)</f>
        <v>4</v>
      </c>
      <c r="F37" s="15" t="str">
        <f>IFERROR(__xludf.DUMMYFUNCTION("""COMPUTED_VALUE"""),"Uncommon")</f>
        <v>Uncommon</v>
      </c>
      <c r="G37" s="13">
        <f>IFERROR(__xludf.DUMMYFUNCTION("""COMPUTED_VALUE"""),3.0)</f>
        <v>3</v>
      </c>
      <c r="H37" s="13">
        <f>IFERROR(__xludf.DUMMYFUNCTION("""COMPUTED_VALUE"""),1.0)</f>
        <v>1</v>
      </c>
      <c r="I37" s="13" t="str">
        <f>IFERROR(__xludf.DUMMYFUNCTION("""COMPUTED_VALUE"""),"---")</f>
        <v>---</v>
      </c>
      <c r="J37" s="13" t="str">
        <f>IFERROR(__xludf.DUMMYFUNCTION("""COMPUTED_VALUE"""),"---")</f>
        <v>---</v>
      </c>
      <c r="K37" s="17" t="str">
        <f>IFERROR(__xludf.DUMMYFUNCTION("""COMPUTED_VALUE"""),"Select a neighbor with 4 or less HP. Defeat them after combat ends.")</f>
        <v>Select a neighbor with 4 or less HP. Defeat them after combat ends.</v>
      </c>
      <c r="L37" s="15" t="str">
        <f>IFERROR(__xludf.DUMMYFUNCTION("""COMPUTED_VALUE"""),"---")</f>
        <v>---</v>
      </c>
      <c r="M37" s="18" t="str">
        <f>IFERROR(__xludf.DUMMYFUNCTION("""COMPUTED_VALUE"""),"---")</f>
        <v>---</v>
      </c>
      <c r="N37" s="18" t="str">
        <f>IFERROR(__xludf.DUMMYFUNCTION("""COMPUTED_VALUE"""),"[Choose Eligible Neighbor]
Options")</f>
        <v>[Choose Eligible Neighbor]
Options</v>
      </c>
      <c r="O37" s="19" t="str">
        <f>IFERROR(__xludf.DUMMYFUNCTION("""COMPUTED_VALUE"""),"&gt;On Spin
&gt;On Crossbow Mark")</f>
        <v>&gt;On Spin
&gt;On Crossbow Mark</v>
      </c>
      <c r="P37" s="19" t="str">
        <f>IFERROR(__xludf.DUMMYFUNCTION("""COMPUTED_VALUE"""),"[Choose Elligible Neighbors]
[Crossbow Mark]
[Multi-Defeat]")</f>
        <v>[Choose Elligible Neighbors]
[Crossbow Mark]
[Multi-Defeat]</v>
      </c>
      <c r="Q37" s="41" t="str">
        <f>IFERROR(__xludf.DUMMYFUNCTION("""COMPUTED_VALUE"""),"[Choose Elligible Neighbors] - Like [Choose Neighbor], but only show selectable neighbors based on the criterion (in this case, HP equal to 4 or less).
[Crossbow Mark] - Set a (Crossbow Mark) state on the enemy. On Resolve Combat, this enemy will be Defe"&amp;"ated.
[Multi-Defeat] - On Resolve Combat, it is possible for multiple enemies to be Defeated at once. In this case, perform Remove Slice for the immediate enemy, then perform Remove Slice for neighboring enemies defeated by Crossbow (in any order).")</f>
        <v>[Choose Elligible Neighbors] - Like [Choose Neighbor], but only show selectable neighbors based on the criterion (in this case, HP equal to 4 or less).
[Crossbow Mark] - Set a (Crossbow Mark) state on the enemy. On Resolve Combat, this enemy will be Defeated.
[Multi-Defeat] - On Resolve Combat, it is possible for multiple enemies to be Defeated at once. In this case, perform Remove Slice for the immediate enemy, then perform Remove Slice for neighboring enemies defeated by Crossbow (in any order).</v>
      </c>
      <c r="R37" s="28" t="str">
        <f>IFERROR(__xludf.DUMMYFUNCTION("""COMPUTED_VALUE"""),"Edge Case: If there are 0 neighbors (this is the last enemy), this item is unusable  
Edge Case: If the player has already used Poison Flask on a neighbor, remove them from [Choose Elligible Neighbors].")</f>
        <v>Edge Case: If there are 0 neighbors (this is the last enemy), this item is unusable  
Edge Case: If the player has already used Poison Flask on a neighbor, remove them from [Choose Elligible Neighbors].</v>
      </c>
      <c r="S37" s="23"/>
      <c r="T37" s="80"/>
      <c r="U37" s="24"/>
    </row>
    <row r="38">
      <c r="A38" s="42" t="b">
        <f>IFERROR(__xludf.DUMMYFUNCTION("""COMPUTED_VALUE"""),TRUE)</f>
        <v>1</v>
      </c>
      <c r="B38" s="43" t="b">
        <f>IFERROR(__xludf.DUMMYFUNCTION("""COMPUTED_VALUE"""),FALSE)</f>
        <v>0</v>
      </c>
      <c r="C38" s="44" t="str">
        <f>IFERROR(__xludf.DUMMYFUNCTION("""COMPUTED_VALUE"""),"I")</f>
        <v>I</v>
      </c>
      <c r="D38" s="14" t="str">
        <f>IFERROR(__xludf.DUMMYFUNCTION("""COMPUTED_VALUE"""),"Sledgehammer")</f>
        <v>Sledgehammer</v>
      </c>
      <c r="E38" s="13">
        <f>IFERROR(__xludf.DUMMYFUNCTION("""COMPUTED_VALUE"""),2.0)</f>
        <v>2</v>
      </c>
      <c r="F38" s="15" t="str">
        <f>IFERROR(__xludf.DUMMYFUNCTION("""COMPUTED_VALUE"""),"Uncommon")</f>
        <v>Uncommon</v>
      </c>
      <c r="G38" s="13">
        <f>IFERROR(__xludf.DUMMYFUNCTION("""COMPUTED_VALUE"""),3.0)</f>
        <v>3</v>
      </c>
      <c r="H38" s="13">
        <f>IFERROR(__xludf.DUMMYFUNCTION("""COMPUTED_VALUE"""),1.0)</f>
        <v>1</v>
      </c>
      <c r="I38" s="13" t="str">
        <f>IFERROR(__xludf.DUMMYFUNCTION("""COMPUTED_VALUE"""),"---")</f>
        <v>---</v>
      </c>
      <c r="J38" s="13" t="str">
        <f>IFERROR(__xludf.DUMMYFUNCTION("""COMPUTED_VALUE"""),"---")</f>
        <v>---</v>
      </c>
      <c r="K38" s="18" t="str">
        <f>IFERROR(__xludf.DUMMYFUNCTION("""COMPUTED_VALUE"""),"Defeat an enemy with 5 or more ATK.")</f>
        <v>Defeat an enemy with 5 or more ATK.</v>
      </c>
      <c r="L38" s="15" t="str">
        <f>IFERROR(__xludf.DUMMYFUNCTION("""COMPUTED_VALUE"""),"(Is enemy ATK 5+?)")</f>
        <v>(Is enemy ATK 5+?)</v>
      </c>
      <c r="M38" s="18" t="str">
        <f>IFERROR(__xludf.DUMMYFUNCTION("""COMPUTED_VALUE"""),"&gt;On Spin
&gt;On Enemy ATK Change")</f>
        <v>&gt;On Spin
&gt;On Enemy ATK Change</v>
      </c>
      <c r="N38" s="18" t="str">
        <f>IFERROR(__xludf.DUMMYFUNCTION("""COMPUTED_VALUE"""),"(Usable?)")</f>
        <v>(Usable?)</v>
      </c>
      <c r="O38" s="19" t="str">
        <f>IFERROR(__xludf.DUMMYFUNCTION("""COMPUTED_VALUE"""),"Updates whenver (Is enemy ATK 5+?) updates, to match it.")</f>
        <v>Updates whenver (Is enemy ATK 5+?) updates, to match it.</v>
      </c>
      <c r="P38" s="49" t="str">
        <f>IFERROR(__xludf.DUMMYFUNCTION("""COMPUTED_VALUE"""),"[Defeat]")</f>
        <v>[Defeat]</v>
      </c>
      <c r="Q38" s="41" t="str">
        <f>IFERROR(__xludf.DUMMYFUNCTION("""COMPUTED_VALUE"""),"When used, Resolve Combat immediately, skipping ATK/BLK resolution.")</f>
        <v>When used, Resolve Combat immediately, skipping ATK/BLK resolution.</v>
      </c>
      <c r="R38" s="62"/>
      <c r="S38" s="63"/>
      <c r="T38" s="80"/>
      <c r="U38" s="32"/>
    </row>
    <row r="39">
      <c r="A39" s="42" t="b">
        <f>IFERROR(__xludf.DUMMYFUNCTION("""COMPUTED_VALUE"""),FALSE)</f>
        <v>0</v>
      </c>
      <c r="B39" s="42" t="b">
        <f>IFERROR(__xludf.DUMMYFUNCTION("""COMPUTED_VALUE"""),FALSE)</f>
        <v>0</v>
      </c>
      <c r="C39" s="89" t="str">
        <f>IFERROR(__xludf.DUMMYFUNCTION("""COMPUTED_VALUE"""),"I")</f>
        <v>I</v>
      </c>
      <c r="D39" s="90" t="str">
        <f>IFERROR(__xludf.DUMMYFUNCTION("""COMPUTED_VALUE"""),"Pocketwatch")</f>
        <v>Pocketwatch</v>
      </c>
      <c r="E39" s="11">
        <f>IFERROR(__xludf.DUMMYFUNCTION("""COMPUTED_VALUE"""),3.0)</f>
        <v>3</v>
      </c>
      <c r="F39" s="15" t="str">
        <f>IFERROR(__xludf.DUMMYFUNCTION("""COMPUTED_VALUE"""),"Uncommon")</f>
        <v>Uncommon</v>
      </c>
      <c r="G39" s="11">
        <f>IFERROR(__xludf.DUMMYFUNCTION("""COMPUTED_VALUE"""),3.0)</f>
        <v>3</v>
      </c>
      <c r="H39" s="11">
        <f>IFERROR(__xludf.DUMMYFUNCTION("""COMPUTED_VALUE"""),1.0)</f>
        <v>1</v>
      </c>
      <c r="I39" s="11" t="str">
        <f>IFERROR(__xludf.DUMMYFUNCTION("""COMPUTED_VALUE"""),"---")</f>
        <v>---</v>
      </c>
      <c r="J39" s="11" t="str">
        <f>IFERROR(__xludf.DUMMYFUNCTION("""COMPUTED_VALUE"""),"---")</f>
        <v>---</v>
      </c>
      <c r="K39" s="91" t="str">
        <f>IFERROR(__xludf.DUMMYFUNCTION("""COMPUTED_VALUE"""),"(ATK X) equal to the ATK of the strongest neighboring enemy.")</f>
        <v>(ATK X) equal to the ATK of the strongest neighboring enemy.</v>
      </c>
      <c r="L39" s="92" t="str">
        <f>IFERROR(__xludf.DUMMYFUNCTION("""COMPUTED_VALUE"""),"[Neighbors' highest ATK]")</f>
        <v>[Neighbors' highest ATK]</v>
      </c>
      <c r="M39" s="91" t="str">
        <f>IFERROR(__xludf.DUMMYFUNCTION("""COMPUTED_VALUE"""),"&gt;On Spin")</f>
        <v>&gt;On Spin</v>
      </c>
      <c r="N39" s="91" t="str">
        <f>IFERROR(__xludf.DUMMYFUNCTION("""COMPUTED_VALUE"""),"Its own ATK")</f>
        <v>Its own ATK</v>
      </c>
      <c r="O39" s="93" t="str">
        <f>IFERROR(__xludf.DUMMYFUNCTION("""COMPUTED_VALUE"""),"&gt;On Spin")</f>
        <v>&gt;On Spin</v>
      </c>
      <c r="P39" s="94" t="str">
        <f>IFERROR(__xludf.DUMMYFUNCTION("""COMPUTED_VALUE"""),"---")</f>
        <v>---</v>
      </c>
      <c r="Q39" s="32" t="str">
        <f>IFERROR(__xludf.DUMMYFUNCTION("""COMPUTED_VALUE"""),"---")</f>
        <v>---</v>
      </c>
      <c r="R39" s="95" t="str">
        <f>IFERROR(__xludf.DUMMYFUNCTION("""COMPUTED_VALUE"""),"Edge Case: When fighting the final enemy, this item becomes unusable.")</f>
        <v>Edge Case: When fighting the final enemy, this item becomes unusable.</v>
      </c>
      <c r="S39" s="64"/>
      <c r="T39" s="80"/>
      <c r="U39" s="32"/>
    </row>
    <row r="40">
      <c r="A40" s="42"/>
      <c r="B40" s="42"/>
      <c r="C40" s="89"/>
      <c r="D40" s="90"/>
      <c r="E40" s="11"/>
      <c r="F40" s="15"/>
      <c r="G40" s="11"/>
      <c r="H40" s="11"/>
      <c r="I40" s="11"/>
      <c r="J40" s="11"/>
      <c r="K40" s="91"/>
      <c r="L40" s="92"/>
      <c r="M40" s="91"/>
      <c r="N40" s="91"/>
      <c r="O40" s="93"/>
      <c r="P40" s="94"/>
      <c r="Q40" s="32"/>
      <c r="R40" s="95"/>
      <c r="S40" s="64"/>
      <c r="T40" s="80"/>
      <c r="U40" s="32"/>
    </row>
    <row r="41">
      <c r="A41" s="42"/>
      <c r="B41" s="42"/>
      <c r="C41" s="89"/>
      <c r="D41" s="90"/>
      <c r="E41" s="11"/>
      <c r="F41" s="15"/>
      <c r="G41" s="11"/>
      <c r="H41" s="11"/>
      <c r="I41" s="11"/>
      <c r="J41" s="11"/>
      <c r="K41" s="91"/>
      <c r="L41" s="92"/>
      <c r="M41" s="91"/>
      <c r="N41" s="91"/>
      <c r="O41" s="93"/>
      <c r="P41" s="94"/>
      <c r="Q41" s="32"/>
      <c r="R41" s="95"/>
      <c r="S41" s="64"/>
      <c r="T41" s="80"/>
      <c r="U41" s="32"/>
    </row>
    <row r="42">
      <c r="A42" s="42"/>
      <c r="B42" s="42"/>
      <c r="C42" s="89"/>
      <c r="D42" s="90"/>
      <c r="E42" s="11"/>
      <c r="F42" s="66"/>
      <c r="G42" s="11"/>
      <c r="H42" s="11"/>
      <c r="I42" s="11"/>
      <c r="J42" s="11"/>
      <c r="K42" s="91"/>
      <c r="L42" s="92"/>
      <c r="M42" s="91"/>
      <c r="N42" s="91"/>
      <c r="O42" s="93"/>
      <c r="P42" s="94"/>
      <c r="Q42" s="32"/>
      <c r="R42" s="95"/>
      <c r="S42" s="64"/>
      <c r="T42" s="80"/>
      <c r="U42" s="32"/>
    </row>
  </sheetData>
  <conditionalFormatting sqref="A1:A42">
    <cfRule type="cellIs" dxfId="0" priority="1" operator="equal">
      <formula>TRUE</formula>
    </cfRule>
  </conditionalFormatting>
  <conditionalFormatting sqref="A2:J42 L2:U42 K19:K36">
    <cfRule type="expression" dxfId="1" priority="2">
      <formula>$B2=TRUE</formula>
    </cfRule>
  </conditionalFormatting>
  <conditionalFormatting sqref="F1:F42 L1:L42">
    <cfRule type="cellIs" dxfId="2" priority="3" operator="equal">
      <formula>"Starter"</formula>
    </cfRule>
  </conditionalFormatting>
  <conditionalFormatting sqref="F1:F42 L1:L42">
    <cfRule type="cellIs" dxfId="3" priority="4" operator="equal">
      <formula>"Uncommon"</formula>
    </cfRule>
  </conditionalFormatting>
  <conditionalFormatting sqref="G2:G42">
    <cfRule type="colorScale" priority="5">
      <colorScale>
        <cfvo type="formula" val="1"/>
        <cfvo type="formula" val="2"/>
        <cfvo type="formula" val="3"/>
        <color rgb="FFFFFFFF"/>
        <color rgb="FFCCCCCC"/>
        <color rgb="FF666666"/>
      </colorScale>
    </cfRule>
  </conditionalFormatting>
  <conditionalFormatting sqref="C2:K42">
    <cfRule type="expression" dxfId="4" priority="6">
      <formula>$C2="M"</formula>
    </cfRule>
  </conditionalFormatting>
  <conditionalFormatting sqref="C2:K42">
    <cfRule type="expression" dxfId="5" priority="7">
      <formula>$C2="I"</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6" t="s">
        <v>228</v>
      </c>
      <c r="B1" s="97" t="s">
        <v>6</v>
      </c>
      <c r="C1" s="98">
        <v>1.0</v>
      </c>
      <c r="D1" s="98">
        <v>2.0</v>
      </c>
      <c r="E1" s="98">
        <v>3.0</v>
      </c>
    </row>
    <row r="2">
      <c r="A2" s="99" t="s">
        <v>18</v>
      </c>
      <c r="B2" s="99" t="s">
        <v>20</v>
      </c>
      <c r="C2" s="100">
        <f>SUMIFS(filter_active_content!$H:$H,filter_active_content!$C:$C,$A2,filter_active_content!$F:$F,$B2,filter_active_content!$G:$G,C$1)</f>
        <v>10</v>
      </c>
      <c r="D2" s="100">
        <f>SUMIFS(filter_active_content!$H:$H,filter_active_content!$C:$C,$A2,filter_active_content!$F:$F,$B2,filter_active_content!$G:$G,D$1)</f>
        <v>6</v>
      </c>
      <c r="E2" s="100">
        <f>SUMIFS(filter_active_content!$H:$H,filter_active_content!$C:$C,$A2,filter_active_content!$F:$F,$B2,filter_active_content!$G:$G,E$1)</f>
        <v>1</v>
      </c>
    </row>
    <row r="3">
      <c r="A3" s="101" t="s">
        <v>105</v>
      </c>
      <c r="B3" s="102" t="s">
        <v>20</v>
      </c>
      <c r="C3" s="103">
        <f>SUMIFS(filter_active_content!$H:$H,filter_active_content!$C:$C,$A3,filter_active_content!$F:$F,$B3,filter_active_content!$G:$G,C$1)</f>
        <v>10</v>
      </c>
      <c r="D3" s="103">
        <f>SUMIFS(filter_active_content!$H:$H,filter_active_content!$C:$C,$A3,filter_active_content!$F:$F,$B3,filter_active_content!$G:$G,D$1)</f>
        <v>6</v>
      </c>
      <c r="E3" s="103">
        <f>SUMIFS(filter_active_content!$H:$H,filter_active_content!$C:$C,$A3,filter_active_content!$F:$F,$B3,filter_active_content!$G:$G,E$1)</f>
        <v>1</v>
      </c>
    </row>
    <row r="4">
      <c r="A4" s="104"/>
      <c r="B4" s="105"/>
      <c r="C4" s="106">
        <f t="shared" ref="C4:E4" si="1">C2-C3</f>
        <v>0</v>
      </c>
      <c r="D4" s="106">
        <f t="shared" si="1"/>
        <v>0</v>
      </c>
      <c r="E4" s="106">
        <f t="shared" si="1"/>
        <v>0</v>
      </c>
      <c r="F4" s="107"/>
      <c r="G4" s="107"/>
    </row>
    <row r="5">
      <c r="A5" s="99" t="s">
        <v>18</v>
      </c>
      <c r="B5" s="99" t="s">
        <v>40</v>
      </c>
      <c r="C5" s="100">
        <f>SUMIFS(filter_active_content!$H:$H,filter_active_content!$C:$C,$A5,filter_active_content!$F:$F,$B5,filter_active_content!$G:$G,C$1)</f>
        <v>2</v>
      </c>
      <c r="D5" s="100">
        <f>SUMIFS(filter_active_content!$H:$H,filter_active_content!$C:$C,$A5,filter_active_content!$F:$F,$B5,filter_active_content!$G:$G,D$1)</f>
        <v>6</v>
      </c>
      <c r="E5" s="100">
        <f>SUMIFS(filter_active_content!$H:$H,filter_active_content!$C:$C,$A5,filter_active_content!$F:$F,$B5,filter_active_content!$G:$G,E$1)</f>
        <v>4</v>
      </c>
    </row>
    <row r="6">
      <c r="A6" s="101" t="s">
        <v>105</v>
      </c>
      <c r="B6" s="102" t="s">
        <v>40</v>
      </c>
      <c r="C6" s="103">
        <f>SUMIFS(filter_active_content!$H:$H,filter_active_content!$C:$C,$A6,filter_active_content!$F:$F,$B6,filter_active_content!$G:$G,C$1)</f>
        <v>2</v>
      </c>
      <c r="D6" s="103">
        <f>SUMIFS(filter_active_content!$H:$H,filter_active_content!$C:$C,$A6,filter_active_content!$F:$F,$B6,filter_active_content!$G:$G,D$1)</f>
        <v>6</v>
      </c>
      <c r="E6" s="103">
        <f>SUMIFS(filter_active_content!$H:$H,filter_active_content!$C:$C,$A6,filter_active_content!$F:$F,$B6,filter_active_content!$G:$G,E$1)</f>
        <v>4</v>
      </c>
    </row>
    <row r="7">
      <c r="B7" s="108"/>
      <c r="C7" s="106">
        <f t="shared" ref="C7:E7" si="2">C5-C6</f>
        <v>0</v>
      </c>
      <c r="D7" s="106">
        <f t="shared" si="2"/>
        <v>0</v>
      </c>
      <c r="E7" s="106">
        <f t="shared" si="2"/>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hidden="1" min="1" max="2" width="5.0"/>
    <col customWidth="1" hidden="1" min="3" max="3" width="5.25"/>
    <col customWidth="1" min="4" max="4" width="13.25"/>
    <col customWidth="1" hidden="1" min="5" max="7" width="6.13"/>
    <col customWidth="1" hidden="1" min="8" max="9" width="7.38"/>
    <col customWidth="1" hidden="1" min="10" max="10" width="21.0"/>
    <col customWidth="1" hidden="1" min="11" max="11" width="9.13"/>
    <col customWidth="1" hidden="1" min="12" max="12" width="13.13"/>
    <col hidden="1" min="13" max="15" width="12.63"/>
    <col customWidth="1" hidden="1" min="16" max="16" width="15.88"/>
    <col customWidth="1" hidden="1" min="17" max="17" width="34.63"/>
    <col customWidth="1" hidden="1" min="18" max="18" width="28.88"/>
    <col customWidth="1" min="19" max="19" width="8.38"/>
    <col customWidth="1" min="20" max="31" width="34.75"/>
  </cols>
  <sheetData>
    <row r="1">
      <c r="A1" s="11" t="str">
        <f>IFERROR(__xludf.DUMMYFUNCTION("FILTER(filter_active_content!A:U,NOT(ISBLANK(filter_active_content!T:T)))"),"Art?")</f>
        <v>Art?</v>
      </c>
      <c r="B1" s="12" t="str">
        <f>IFERROR(__xludf.DUMMYFUNCTION("""COMPUTED_VALUE"""),"Hide?")</f>
        <v>Hide?</v>
      </c>
      <c r="C1" s="13" t="str">
        <f>IFERROR(__xludf.DUMMYFUNCTION("""COMPUTED_VALUE"""),"Type")</f>
        <v>Type</v>
      </c>
      <c r="D1" s="14" t="str">
        <f>IFERROR(__xludf.DUMMYFUNCTION("""COMPUTED_VALUE"""),"Name")</f>
        <v>Name</v>
      </c>
      <c r="E1" s="13" t="str">
        <f>IFERROR(__xludf.DUMMYFUNCTION("""COMPUTED_VALUE"""),"Priority")</f>
        <v>Priority</v>
      </c>
      <c r="F1" s="13" t="str">
        <f>IFERROR(__xludf.DUMMYFUNCTION("""COMPUTED_VALUE"""),"Starter?")</f>
        <v>Starter?</v>
      </c>
      <c r="G1" s="13" t="str">
        <f>IFERROR(__xludf.DUMMYFUNCTION("""COMPUTED_VALUE"""),"Tier")</f>
        <v>Tier</v>
      </c>
      <c r="H1" s="16" t="str">
        <f>IFERROR(__xludf.DUMMYFUNCTION("""COMPUTED_VALUE"""),"Count")</f>
        <v>Count</v>
      </c>
      <c r="I1" s="16" t="str">
        <f>IFERROR(__xludf.DUMMYFUNCTION("""COMPUTED_VALUE"""),"ATK")</f>
        <v>ATK</v>
      </c>
      <c r="J1" s="17" t="str">
        <f>IFERROR(__xludf.DUMMYFUNCTION("""COMPUTED_VALUE"""),"HP")</f>
        <v>HP</v>
      </c>
      <c r="K1" s="15" t="str">
        <f>IFERROR(__xludf.DUMMYFUNCTION("""COMPUTED_VALUE"""),"Ability")</f>
        <v>Ability</v>
      </c>
      <c r="L1" s="18" t="str">
        <f>IFERROR(__xludf.DUMMYFUNCTION("""COMPUTED_VALUE"""),"Starter?")</f>
        <v>Starter?</v>
      </c>
      <c r="M1" s="18" t="str">
        <f>IFERROR(__xludf.DUMMYFUNCTION("""COMPUTED_VALUE"""),"Updated by...")</f>
        <v>Updated by...</v>
      </c>
      <c r="N1" s="19" t="str">
        <f>IFERROR(__xludf.DUMMYFUNCTION("""COMPUTED_VALUE"""),"(when updated)")</f>
        <v>(when updated)</v>
      </c>
      <c r="O1" s="20" t="str">
        <f>IFERROR(__xludf.DUMMYFUNCTION("""COMPUTED_VALUE"""),"Updates...")</f>
        <v>Updates...</v>
      </c>
      <c r="P1" s="21" t="str">
        <f>IFERROR(__xludf.DUMMYFUNCTION("""COMPUTED_VALUE"""),"(when updates)")</f>
        <v>(when updates)</v>
      </c>
      <c r="Q1" s="22" t="str">
        <f>IFERROR(__xludf.DUMMYFUNCTION("""COMPUTED_VALUE"""),"Special Function")</f>
        <v>Special Function</v>
      </c>
      <c r="R1" s="23" t="str">
        <f>IFERROR(__xludf.DUMMYFUNCTION("""COMPUTED_VALUE"""),"Defined")</f>
        <v>Defined</v>
      </c>
      <c r="S1" s="109" t="str">
        <f>IFERROR(__xludf.DUMMYFUNCTION("""COMPUTED_VALUE"""),"Exceptions / Edge Cases")</f>
        <v>Exceptions / Edge Cases</v>
      </c>
      <c r="T1" s="110" t="str">
        <f>IFERROR(__xludf.DUMMYFUNCTION("""COMPUTED_VALUE"""),"Updated")</f>
        <v>Updated</v>
      </c>
      <c r="U1" s="110" t="str">
        <f>IFERROR(__xludf.DUMMYFUNCTION("""COMPUTED_VALUE"""),"Patch Notes")</f>
        <v>Patch Notes</v>
      </c>
      <c r="V1" s="110"/>
      <c r="W1" s="110"/>
      <c r="X1" s="110"/>
      <c r="Y1" s="110"/>
      <c r="Z1" s="110"/>
      <c r="AA1" s="110"/>
      <c r="AB1" s="110"/>
      <c r="AC1" s="110"/>
      <c r="AD1" s="110"/>
      <c r="AE1" s="110"/>
    </row>
    <row r="2">
      <c r="A2" s="11" t="b">
        <f>IFERROR(__xludf.DUMMYFUNCTION("""COMPUTED_VALUE"""),TRUE)</f>
        <v>1</v>
      </c>
      <c r="B2" s="12" t="b">
        <f>IFERROR(__xludf.DUMMYFUNCTION("""COMPUTED_VALUE"""),FALSE)</f>
        <v>0</v>
      </c>
      <c r="C2" s="13" t="str">
        <f>IFERROR(__xludf.DUMMYFUNCTION("""COMPUTED_VALUE"""),"M")</f>
        <v>M</v>
      </c>
      <c r="D2" s="14" t="str">
        <f>IFERROR(__xludf.DUMMYFUNCTION("""COMPUTED_VALUE"""),"Golem")</f>
        <v>Golem</v>
      </c>
      <c r="E2" s="13">
        <f>IFERROR(__xludf.DUMMYFUNCTION("""COMPUTED_VALUE"""),1.0)</f>
        <v>1</v>
      </c>
      <c r="F2" s="13" t="str">
        <f>IFERROR(__xludf.DUMMYFUNCTION("""COMPUTED_VALUE"""),"Starter")</f>
        <v>Starter</v>
      </c>
      <c r="G2" s="13">
        <f>IFERROR(__xludf.DUMMYFUNCTION("""COMPUTED_VALUE"""),1.0)</f>
        <v>1</v>
      </c>
      <c r="H2" s="16">
        <f>IFERROR(__xludf.DUMMYFUNCTION("""COMPUTED_VALUE"""),2.0)</f>
        <v>2</v>
      </c>
      <c r="I2" s="16">
        <f>IFERROR(__xludf.DUMMYFUNCTION("""COMPUTED_VALUE"""),3.0)</f>
        <v>3</v>
      </c>
      <c r="J2" s="17">
        <f>IFERROR(__xludf.DUMMYFUNCTION("""COMPUTED_VALUE"""),7.0)</f>
        <v>7</v>
      </c>
      <c r="K2" s="15" t="str">
        <f>IFERROR(__xludf.DUMMYFUNCTION("""COMPUTED_VALUE"""),"---")</f>
        <v>---</v>
      </c>
      <c r="L2" s="18" t="str">
        <f>IFERROR(__xludf.DUMMYFUNCTION("""COMPUTED_VALUE"""),"---")</f>
        <v>---</v>
      </c>
      <c r="M2" s="18"/>
      <c r="N2" s="19" t="str">
        <f>IFERROR(__xludf.DUMMYFUNCTION("""COMPUTED_VALUE"""),"---")</f>
        <v>---</v>
      </c>
      <c r="O2" s="20" t="str">
        <f>IFERROR(__xludf.DUMMYFUNCTION("""COMPUTED_VALUE"""),"---")</f>
        <v>---</v>
      </c>
      <c r="P2" s="21" t="str">
        <f>IFERROR(__xludf.DUMMYFUNCTION("""COMPUTED_VALUE"""),"---")</f>
        <v>---</v>
      </c>
      <c r="Q2" s="22" t="str">
        <f>IFERROR(__xludf.DUMMYFUNCTION("""COMPUTED_VALUE"""),"---")</f>
        <v>---</v>
      </c>
      <c r="R2" s="23" t="str">
        <f>IFERROR(__xludf.DUMMYFUNCTION("""COMPUTED_VALUE"""),"---")</f>
        <v>---</v>
      </c>
      <c r="S2" s="80"/>
      <c r="T2" s="80">
        <f>IFERROR(__xludf.DUMMYFUNCTION("""COMPUTED_VALUE"""),44671.0)</f>
        <v>44671</v>
      </c>
      <c r="U2" s="32" t="str">
        <f>IFERROR(__xludf.DUMMYFUNCTION("""COMPUTED_VALUE"""),"HP 6-&gt;7")</f>
        <v>HP 6-&gt;7</v>
      </c>
      <c r="V2" s="32"/>
      <c r="W2" s="32"/>
      <c r="X2" s="32"/>
      <c r="Y2" s="32"/>
      <c r="Z2" s="32"/>
      <c r="AA2" s="32"/>
      <c r="AB2" s="32"/>
      <c r="AC2" s="32"/>
      <c r="AD2" s="32"/>
      <c r="AE2" s="32"/>
    </row>
    <row r="3">
      <c r="A3" s="11" t="b">
        <f>IFERROR(__xludf.DUMMYFUNCTION("""COMPUTED_VALUE"""),TRUE)</f>
        <v>1</v>
      </c>
      <c r="B3" s="12" t="b">
        <f>IFERROR(__xludf.DUMMYFUNCTION("""COMPUTED_VALUE"""),FALSE)</f>
        <v>0</v>
      </c>
      <c r="C3" s="13" t="str">
        <f>IFERROR(__xludf.DUMMYFUNCTION("""COMPUTED_VALUE"""),"M")</f>
        <v>M</v>
      </c>
      <c r="D3" s="14" t="str">
        <f>IFERROR(__xludf.DUMMYFUNCTION("""COMPUTED_VALUE"""),"Ogre")</f>
        <v>Ogre</v>
      </c>
      <c r="E3" s="13">
        <f>IFERROR(__xludf.DUMMYFUNCTION("""COMPUTED_VALUE"""),1.0)</f>
        <v>1</v>
      </c>
      <c r="F3" s="13" t="str">
        <f>IFERROR(__xludf.DUMMYFUNCTION("""COMPUTED_VALUE"""),"Starter")</f>
        <v>Starter</v>
      </c>
      <c r="G3" s="13">
        <f>IFERROR(__xludf.DUMMYFUNCTION("""COMPUTED_VALUE"""),2.0)</f>
        <v>2</v>
      </c>
      <c r="H3" s="16">
        <f>IFERROR(__xludf.DUMMYFUNCTION("""COMPUTED_VALUE"""),2.0)</f>
        <v>2</v>
      </c>
      <c r="I3" s="16">
        <f>IFERROR(__xludf.DUMMYFUNCTION("""COMPUTED_VALUE"""),4.0)</f>
        <v>4</v>
      </c>
      <c r="J3" s="17" t="str">
        <f>IFERROR(__xludf.DUMMYFUNCTION("""COMPUTED_VALUE"""),"X")</f>
        <v>X</v>
      </c>
      <c r="K3" s="15" t="str">
        <f>IFERROR(__xludf.DUMMYFUNCTION("""COMPUTED_VALUE"""),"X = Your HP at the start of combat.")</f>
        <v>X = Your HP at the start of combat.</v>
      </c>
      <c r="L3" s="18" t="str">
        <f>IFERROR(__xludf.DUMMYFUNCTION("""COMPUTED_VALUE"""),"(HP)")</f>
        <v>(HP)</v>
      </c>
      <c r="M3" s="18" t="str">
        <f>IFERROR(__xludf.DUMMYFUNCTION("""COMPUTED_VALUE"""),"&gt;On Spin")</f>
        <v>&gt;On Spin</v>
      </c>
      <c r="N3" s="19" t="str">
        <f>IFERROR(__xludf.DUMMYFUNCTION("""COMPUTED_VALUE"""),"---")</f>
        <v>---</v>
      </c>
      <c r="O3" s="20" t="str">
        <f>IFERROR(__xludf.DUMMYFUNCTION("""COMPUTED_VALUE"""),"---")</f>
        <v>---</v>
      </c>
      <c r="P3" s="21" t="str">
        <f>IFERROR(__xludf.DUMMYFUNCTION("""COMPUTED_VALUE"""),"---")</f>
        <v>---</v>
      </c>
      <c r="Q3" s="22" t="str">
        <f>IFERROR(__xludf.DUMMYFUNCTION("""COMPUTED_VALUE"""),"---")</f>
        <v>---</v>
      </c>
      <c r="R3" s="23" t="str">
        <f>IFERROR(__xludf.DUMMYFUNCTION("""COMPUTED_VALUE"""),"---")</f>
        <v>---</v>
      </c>
      <c r="S3" s="80"/>
      <c r="T3" s="80">
        <f>IFERROR(__xludf.DUMMYFUNCTION("""COMPUTED_VALUE"""),44675.0)</f>
        <v>44675</v>
      </c>
      <c r="U3" s="32" t="str">
        <f>IFERROR(__xludf.DUMMYFUNCTION("""COMPUTED_VALUE"""),"Rework: changed HP to 
""X=Your HP at the start of combat""")</f>
        <v>Rework: changed HP to 
"X=Your HP at the start of combat"</v>
      </c>
      <c r="V3" s="32"/>
      <c r="W3" s="32"/>
      <c r="X3" s="32"/>
      <c r="Y3" s="32"/>
      <c r="Z3" s="32"/>
      <c r="AA3" s="32"/>
      <c r="AB3" s="32"/>
      <c r="AC3" s="32"/>
      <c r="AD3" s="32"/>
      <c r="AE3" s="32"/>
    </row>
    <row r="4">
      <c r="A4" s="11" t="b">
        <f>IFERROR(__xludf.DUMMYFUNCTION("""COMPUTED_VALUE"""),TRUE)</f>
        <v>1</v>
      </c>
      <c r="B4" s="12" t="b">
        <f>IFERROR(__xludf.DUMMYFUNCTION("""COMPUTED_VALUE"""),FALSE)</f>
        <v>0</v>
      </c>
      <c r="C4" s="13" t="str">
        <f>IFERROR(__xludf.DUMMYFUNCTION("""COMPUTED_VALUE"""),"M")</f>
        <v>M</v>
      </c>
      <c r="D4" s="14" t="str">
        <f>IFERROR(__xludf.DUMMYFUNCTION("""COMPUTED_VALUE"""),"Berserker")</f>
        <v>Berserker</v>
      </c>
      <c r="E4" s="13">
        <f>IFERROR(__xludf.DUMMYFUNCTION("""COMPUTED_VALUE"""),2.0)</f>
        <v>2</v>
      </c>
      <c r="F4" s="13" t="str">
        <f>IFERROR(__xludf.DUMMYFUNCTION("""COMPUTED_VALUE"""),"Starter")</f>
        <v>Starter</v>
      </c>
      <c r="G4" s="13">
        <f>IFERROR(__xludf.DUMMYFUNCTION("""COMPUTED_VALUE"""),2.0)</f>
        <v>2</v>
      </c>
      <c r="H4" s="16">
        <f>IFERROR(__xludf.DUMMYFUNCTION("""COMPUTED_VALUE"""),1.0)</f>
        <v>1</v>
      </c>
      <c r="I4" s="16" t="str">
        <f>IFERROR(__xludf.DUMMYFUNCTION("""COMPUTED_VALUE"""),"(1+X)")</f>
        <v>(1+X)</v>
      </c>
      <c r="J4" s="25" t="str">
        <f>IFERROR(__xludf.DUMMYFUNCTION("""COMPUTED_VALUE"""),"(2+X)")</f>
        <v>(2+X)</v>
      </c>
      <c r="K4" s="15" t="str">
        <f>IFERROR(__xludf.DUMMYFUNCTION("""COMPUTED_VALUE"""),"X = The number of monsters you have defeated.")</f>
        <v>X = The number of monsters you have defeated.</v>
      </c>
      <c r="L4" s="18" t="str">
        <f>IFERROR(__xludf.DUMMYFUNCTION("""COMPUTED_VALUE"""),"(# Mob Defeated)")</f>
        <v>(# Mob Defeated)</v>
      </c>
      <c r="M4" s="18" t="str">
        <f>IFERROR(__xludf.DUMMYFUNCTION("""COMPUTED_VALUE"""),"&gt;On Remove Slice")</f>
        <v>&gt;On Remove Slice</v>
      </c>
      <c r="N4" s="19" t="str">
        <f>IFERROR(__xludf.DUMMYFUNCTION("""COMPUTED_VALUE"""),"---")</f>
        <v>---</v>
      </c>
      <c r="O4" s="20" t="str">
        <f>IFERROR(__xludf.DUMMYFUNCTION("""COMPUTED_VALUE"""),"---")</f>
        <v>---</v>
      </c>
      <c r="P4" s="21" t="str">
        <f>IFERROR(__xludf.DUMMYFUNCTION("""COMPUTED_VALUE"""),"(# Mobs Defeated)")</f>
        <v>(# Mobs Defeated)</v>
      </c>
      <c r="Q4" s="26" t="str">
        <f>IFERROR(__xludf.DUMMYFUNCTION("""COMPUTED_VALUE"""),"(# Mobs Defeated): Every time a slice is removed after the initial drafting phase, this increments.")</f>
        <v>(# Mobs Defeated): Every time a slice is removed after the initial drafting phase, this increments.</v>
      </c>
      <c r="R4" s="23" t="str">
        <f>IFERROR(__xludf.DUMMYFUNCTION("""COMPUTED_VALUE"""),"---")</f>
        <v>---</v>
      </c>
      <c r="S4" s="80"/>
      <c r="T4" s="80">
        <f>IFERROR(__xludf.DUMMYFUNCTION("""COMPUTED_VALUE"""),44679.0)</f>
        <v>44679</v>
      </c>
      <c r="U4" s="24" t="str">
        <f>IFERROR(__xludf.DUMMYFUNCTION("""COMPUTED_VALUE"""),"(5/2) - Nerfed to (1+X) for ATK
(4/24) - Rework: changed ATK and HP to
(3+X), where X=Number of Mobs defeated")</f>
        <v>(5/2) - Nerfed to (1+X) for ATK
(4/24) - Rework: changed ATK and HP to
(3+X), where X=Number of Mobs defeated</v>
      </c>
      <c r="V4" s="24"/>
      <c r="W4" s="24"/>
      <c r="X4" s="24"/>
      <c r="Y4" s="24"/>
      <c r="Z4" s="24"/>
      <c r="AA4" s="24"/>
      <c r="AB4" s="24"/>
      <c r="AC4" s="24"/>
      <c r="AD4" s="24"/>
      <c r="AE4" s="24"/>
    </row>
    <row r="5">
      <c r="A5" s="11" t="b">
        <f>IFERROR(__xludf.DUMMYFUNCTION("""COMPUTED_VALUE"""),FALSE)</f>
        <v>0</v>
      </c>
      <c r="B5" s="12" t="b">
        <f>IFERROR(__xludf.DUMMYFUNCTION("""COMPUTED_VALUE"""),FALSE)</f>
        <v>0</v>
      </c>
      <c r="C5" s="13" t="str">
        <f>IFERROR(__xludf.DUMMYFUNCTION("""COMPUTED_VALUE"""),"M")</f>
        <v>M</v>
      </c>
      <c r="D5" s="14" t="str">
        <f>IFERROR(__xludf.DUMMYFUNCTION("""COMPUTED_VALUE"""),"Leech League")</f>
        <v>Leech League</v>
      </c>
      <c r="E5" s="13">
        <f>IFERROR(__xludf.DUMMYFUNCTION("""COMPUTED_VALUE"""),2.0)</f>
        <v>2</v>
      </c>
      <c r="F5" s="13" t="str">
        <f>IFERROR(__xludf.DUMMYFUNCTION("""COMPUTED_VALUE"""),"Uncommon")</f>
        <v>Uncommon</v>
      </c>
      <c r="G5" s="13">
        <f>IFERROR(__xludf.DUMMYFUNCTION("""COMPUTED_VALUE"""),2.0)</f>
        <v>2</v>
      </c>
      <c r="H5" s="16">
        <f>IFERROR(__xludf.DUMMYFUNCTION("""COMPUTED_VALUE"""),1.0)</f>
        <v>1</v>
      </c>
      <c r="I5" s="16">
        <f>IFERROR(__xludf.DUMMYFUNCTION("""COMPUTED_VALUE"""),4.0)</f>
        <v>4</v>
      </c>
      <c r="J5" s="17" t="str">
        <f>IFERROR(__xludf.DUMMYFUNCTION("""COMPUTED_VALUE"""),"(1+X)")</f>
        <v>(1+X)</v>
      </c>
      <c r="K5" s="15" t="str">
        <f>IFERROR(__xludf.DUMMYFUNCTION("""COMPUTED_VALUE"""),"X = The number of monsters still in play.")</f>
        <v>X = The number of monsters still in play.</v>
      </c>
      <c r="L5" s="18" t="str">
        <f>IFERROR(__xludf.DUMMYFUNCTION("""COMPUTED_VALUE"""),"(# mobs)")</f>
        <v>(# mobs)</v>
      </c>
      <c r="M5" s="18" t="str">
        <f>IFERROR(__xludf.DUMMYFUNCTION("""COMPUTED_VALUE"""),"&gt;On Remove Slice")</f>
        <v>&gt;On Remove Slice</v>
      </c>
      <c r="N5" s="19" t="str">
        <f>IFERROR(__xludf.DUMMYFUNCTION("""COMPUTED_VALUE"""),"---")</f>
        <v>---</v>
      </c>
      <c r="O5" s="20" t="str">
        <f>IFERROR(__xludf.DUMMYFUNCTION("""COMPUTED_VALUE"""),"---")</f>
        <v>---</v>
      </c>
      <c r="P5" s="27" t="str">
        <f>IFERROR(__xludf.DUMMYFUNCTION("""COMPUTED_VALUE"""),"---")</f>
        <v>---</v>
      </c>
      <c r="Q5" s="28" t="str">
        <f>IFERROR(__xludf.DUMMYFUNCTION("""COMPUTED_VALUE"""),"---")</f>
        <v>---</v>
      </c>
      <c r="R5" s="29" t="str">
        <f>IFERROR(__xludf.DUMMYFUNCTION("""COMPUTED_VALUE"""),"---")</f>
        <v>---</v>
      </c>
      <c r="S5" s="80"/>
      <c r="T5" s="111">
        <f>IFERROR(__xludf.DUMMYFUNCTION("""COMPUTED_VALUE"""),44671.0)</f>
        <v>44671</v>
      </c>
      <c r="U5" s="30" t="str">
        <f>IFERROR(__xludf.DUMMYFUNCTION("""COMPUTED_VALUE"""),"Rework: changed HP to
(1+X), where X=Number of Mobs")</f>
        <v>Rework: changed HP to
(1+X), where X=Number of Mobs</v>
      </c>
      <c r="V5" s="30"/>
      <c r="W5" s="30"/>
      <c r="X5" s="30"/>
      <c r="Y5" s="30"/>
      <c r="Z5" s="30"/>
      <c r="AA5" s="30"/>
      <c r="AB5" s="30"/>
      <c r="AC5" s="30"/>
      <c r="AD5" s="30"/>
      <c r="AE5" s="30"/>
    </row>
    <row r="6">
      <c r="A6" s="11" t="b">
        <f>IFERROR(__xludf.DUMMYFUNCTION("""COMPUTED_VALUE"""),TRUE)</f>
        <v>1</v>
      </c>
      <c r="B6" s="12" t="b">
        <f>IFERROR(__xludf.DUMMYFUNCTION("""COMPUTED_VALUE"""),FALSE)</f>
        <v>0</v>
      </c>
      <c r="C6" s="13" t="str">
        <f>IFERROR(__xludf.DUMMYFUNCTION("""COMPUTED_VALUE"""),"M")</f>
        <v>M</v>
      </c>
      <c r="D6" s="14" t="str">
        <f>IFERROR(__xludf.DUMMYFUNCTION("""COMPUTED_VALUE"""),"Wraith")</f>
        <v>Wraith</v>
      </c>
      <c r="E6" s="13">
        <f>IFERROR(__xludf.DUMMYFUNCTION("""COMPUTED_VALUE"""),3.0)</f>
        <v>3</v>
      </c>
      <c r="F6" s="13" t="str">
        <f>IFERROR(__xludf.DUMMYFUNCTION("""COMPUTED_VALUE"""),"Uncommon")</f>
        <v>Uncommon</v>
      </c>
      <c r="G6" s="13">
        <f>IFERROR(__xludf.DUMMYFUNCTION("""COMPUTED_VALUE"""),2.0)</f>
        <v>2</v>
      </c>
      <c r="H6" s="16">
        <f>IFERROR(__xludf.DUMMYFUNCTION("""COMPUTED_VALUE"""),2.0)</f>
        <v>2</v>
      </c>
      <c r="I6" s="16">
        <f>IFERROR(__xludf.DUMMYFUNCTION("""COMPUTED_VALUE"""),3.0)</f>
        <v>3</v>
      </c>
      <c r="J6" s="17">
        <f>IFERROR(__xludf.DUMMYFUNCTION("""COMPUTED_VALUE"""),3.0)</f>
        <v>3</v>
      </c>
      <c r="K6" s="15" t="str">
        <f>IFERROR(__xludf.DUMMYFUNCTION("""COMPUTED_VALUE"""),"If a neighbor has higher ATK, then this unit's ATK will match it.")</f>
        <v>If a neighbor has higher ATK, then this unit's ATK will match it.</v>
      </c>
      <c r="L6" s="18" t="str">
        <f>IFERROR(__xludf.DUMMYFUNCTION("""COMPUTED_VALUE"""),"[Neighbors' highest ATK]")</f>
        <v>[Neighbors' highest ATK]</v>
      </c>
      <c r="M6" s="18" t="str">
        <f>IFERROR(__xludf.DUMMYFUNCTION("""COMPUTED_VALUE"""),"&gt;On Remove Slice")</f>
        <v>&gt;On Remove Slice</v>
      </c>
      <c r="N6" s="19" t="str">
        <f>IFERROR(__xludf.DUMMYFUNCTION("""COMPUTED_VALUE"""),"Its own ATK")</f>
        <v>Its own ATK</v>
      </c>
      <c r="O6" s="34" t="str">
        <f>IFERROR(__xludf.DUMMYFUNCTION("""COMPUTED_VALUE"""),"&gt;On Remove Slice")</f>
        <v>&gt;On Remove Slice</v>
      </c>
      <c r="P6" s="21" t="str">
        <f>IFERROR(__xludf.DUMMYFUNCTION("""COMPUTED_VALUE"""),"---")</f>
        <v>---</v>
      </c>
      <c r="Q6" s="22" t="str">
        <f>IFERROR(__xludf.DUMMYFUNCTION("""COMPUTED_VALUE"""),"Resolve Order: This is the only function whose order of operations matters.
Wraith will check the ATK of others (with their complete modifiers, if any) and ""match"" higher ATK if applicable, and then will receive the ATK increase from Captain.")</f>
        <v>Resolve Order: This is the only function whose order of operations matters.
Wraith will check the ATK of others (with their complete modifiers, if any) and "match" higher ATK if applicable, and then will receive the ATK increase from Captain.</v>
      </c>
      <c r="R6" s="23" t="str">
        <f>IFERROR(__xludf.DUMMYFUNCTION("""COMPUTED_VALUE"""),"---")</f>
        <v>---</v>
      </c>
      <c r="S6" s="80"/>
      <c r="T6" s="80">
        <f>IFERROR(__xludf.DUMMYFUNCTION("""COMPUTED_VALUE"""),44675.0)</f>
        <v>44675</v>
      </c>
      <c r="U6" s="24" t="str">
        <f>IFERROR(__xludf.DUMMYFUNCTION("""COMPUTED_VALUE"""),"(Slight) Rework: Set base ATK to 3, then added ability for it to match Neighbor's ATK if higher.")</f>
        <v>(Slight) Rework: Set base ATK to 3, then added ability for it to match Neighbor's ATK if higher.</v>
      </c>
      <c r="V6" s="24"/>
      <c r="W6" s="24"/>
      <c r="X6" s="24"/>
      <c r="Y6" s="24"/>
      <c r="Z6" s="24"/>
      <c r="AA6" s="24"/>
      <c r="AB6" s="24"/>
      <c r="AC6" s="24"/>
      <c r="AD6" s="24"/>
      <c r="AE6" s="24"/>
    </row>
    <row r="7">
      <c r="A7" s="11" t="b">
        <f>IFERROR(__xludf.DUMMYFUNCTION("""COMPUTED_VALUE"""),FALSE)</f>
        <v>0</v>
      </c>
      <c r="B7" s="12" t="b">
        <f>IFERROR(__xludf.DUMMYFUNCTION("""COMPUTED_VALUE"""),FALSE)</f>
        <v>0</v>
      </c>
      <c r="C7" s="13" t="str">
        <f>IFERROR(__xludf.DUMMYFUNCTION("""COMPUTED_VALUE"""),"M")</f>
        <v>M</v>
      </c>
      <c r="D7" s="14" t="str">
        <f>IFERROR(__xludf.DUMMYFUNCTION("""COMPUTED_VALUE"""),"Mimic")</f>
        <v>Mimic</v>
      </c>
      <c r="E7" s="13">
        <f>IFERROR(__xludf.DUMMYFUNCTION("""COMPUTED_VALUE"""),4.0)</f>
        <v>4</v>
      </c>
      <c r="F7" s="13" t="str">
        <f>IFERROR(__xludf.DUMMYFUNCTION("""COMPUTED_VALUE"""),"Uncommon")</f>
        <v>Uncommon</v>
      </c>
      <c r="G7" s="13">
        <f>IFERROR(__xludf.DUMMYFUNCTION("""COMPUTED_VALUE"""),2.0)</f>
        <v>2</v>
      </c>
      <c r="H7" s="16">
        <f>IFERROR(__xludf.DUMMYFUNCTION("""COMPUTED_VALUE"""),1.0)</f>
        <v>1</v>
      </c>
      <c r="I7" s="16">
        <f>IFERROR(__xludf.DUMMYFUNCTION("""COMPUTED_VALUE"""),4.0)</f>
        <v>4</v>
      </c>
      <c r="J7" s="17">
        <f>IFERROR(__xludf.DUMMYFUNCTION("""COMPUTED_VALUE"""),5.0)</f>
        <v>5</v>
      </c>
      <c r="K7" s="15" t="str">
        <f>IFERROR(__xludf.DUMMYFUNCTION("""COMPUTED_VALUE"""),"If this unit is defeated before it can attack, Gain 1 random item.")</f>
        <v>If this unit is defeated before it can attack, Gain 1 random item.</v>
      </c>
      <c r="L7" s="18" t="str">
        <f>IFERROR(__xludf.DUMMYFUNCTION("""COMPUTED_VALUE"""),"(Did it attack?)")</f>
        <v>(Did it attack?)</v>
      </c>
      <c r="M7" s="18" t="str">
        <f>IFERROR(__xludf.DUMMYFUNCTION("""COMPUTED_VALUE"""),"&gt;On Resolve Combat")</f>
        <v>&gt;On Resolve Combat</v>
      </c>
      <c r="N7" s="19" t="str">
        <f>IFERROR(__xludf.DUMMYFUNCTION("""COMPUTED_VALUE"""),"Initiates
[Gain 1 Item]
If (Did it attack?) returns False")</f>
        <v>Initiates
[Gain 1 Item]
If (Did it attack?) returns False</v>
      </c>
      <c r="O7" s="34" t="str">
        <f>IFERROR(__xludf.DUMMYFUNCTION("""COMPUTED_VALUE"""),"&gt;On Resolve Combat")</f>
        <v>&gt;On Resolve Combat</v>
      </c>
      <c r="P7" s="21" t="str">
        <f>IFERROR(__xludf.DUMMYFUNCTION("""COMPUTED_VALUE"""),"(Did it attack?)
[Gain 1 Item]")</f>
        <v>(Did it attack?)
[Gain 1 Item]</v>
      </c>
      <c r="Q7" s="22" t="str">
        <f>IFERROR(__xludf.DUMMYFUNCTION("""COMPUTED_VALUE"""),"(Did It Attack?): Set to False at the start of combat. If the enemy ever attacks, set to True. Ways to prevent the enemy from attacking are killing or otherwise defeating the enemy with items (i.e. not blocking).
Draws 1 Random item (tier-agnostic) from "&amp;"the pool of items that have not been drawn in this dungeon yet.")</f>
        <v>(Did It Attack?): Set to False at the start of combat. If the enemy ever attacks, set to True. Ways to prevent the enemy from attacking are killing or otherwise defeating the enemy with items (i.e. not blocking).
Draws 1 Random item (tier-agnostic) from the pool of items that have not been drawn in this dungeon yet.</v>
      </c>
      <c r="R7" s="23" t="str">
        <f>IFERROR(__xludf.DUMMYFUNCTION("""COMPUTED_VALUE"""),"Edge Case: If there are 0 items left in the pool, then do not draw an item.")</f>
        <v>Edge Case: If there are 0 items left in the pool, then do not draw an item.</v>
      </c>
      <c r="S7" s="80"/>
      <c r="T7" s="80">
        <f>IFERROR(__xludf.DUMMYFUNCTION("""COMPUTED_VALUE"""),44671.0)</f>
        <v>44671</v>
      </c>
      <c r="U7" s="32" t="str">
        <f>IFERROR(__xludf.DUMMYFUNCTION("""COMPUTED_VALUE"""),"Rework: Mimic now only gives item if it is defeated before it can attack.")</f>
        <v>Rework: Mimic now only gives item if it is defeated before it can attack.</v>
      </c>
      <c r="V7" s="32"/>
      <c r="W7" s="32"/>
      <c r="X7" s="32"/>
      <c r="Y7" s="32"/>
      <c r="Z7" s="32"/>
      <c r="AA7" s="32"/>
      <c r="AB7" s="32"/>
      <c r="AC7" s="32"/>
      <c r="AD7" s="32"/>
      <c r="AE7" s="32"/>
    </row>
    <row r="8">
      <c r="A8" s="11" t="b">
        <f>IFERROR(__xludf.DUMMYFUNCTION("""COMPUTED_VALUE"""),FALSE)</f>
        <v>0</v>
      </c>
      <c r="B8" s="12" t="b">
        <f>IFERROR(__xludf.DUMMYFUNCTION("""COMPUTED_VALUE"""),FALSE)</f>
        <v>0</v>
      </c>
      <c r="C8" s="13" t="str">
        <f>IFERROR(__xludf.DUMMYFUNCTION("""COMPUTED_VALUE"""),"M")</f>
        <v>M</v>
      </c>
      <c r="D8" s="14" t="str">
        <f>IFERROR(__xludf.DUMMYFUNCTION("""COMPUTED_VALUE"""),"Spider Queen")</f>
        <v>Spider Queen</v>
      </c>
      <c r="E8" s="13">
        <f>IFERROR(__xludf.DUMMYFUNCTION("""COMPUTED_VALUE"""),3.0)</f>
        <v>3</v>
      </c>
      <c r="F8" s="13" t="str">
        <f>IFERROR(__xludf.DUMMYFUNCTION("""COMPUTED_VALUE"""),"Uncommon")</f>
        <v>Uncommon</v>
      </c>
      <c r="G8" s="13">
        <f>IFERROR(__xludf.DUMMYFUNCTION("""COMPUTED_VALUE"""),3.0)</f>
        <v>3</v>
      </c>
      <c r="H8" s="16">
        <f>IFERROR(__xludf.DUMMYFUNCTION("""COMPUTED_VALUE"""),1.0)</f>
        <v>1</v>
      </c>
      <c r="I8" s="16">
        <f>IFERROR(__xludf.DUMMYFUNCTION("""COMPUTED_VALUE"""),3.0)</f>
        <v>3</v>
      </c>
      <c r="J8" s="17">
        <f>IFERROR(__xludf.DUMMYFUNCTION("""COMPUTED_VALUE"""),7.0)</f>
        <v>7</v>
      </c>
      <c r="K8" s="15" t="str">
        <f>IFERROR(__xludf.DUMMYFUNCTION("""COMPUTED_VALUE"""),"When this unit attacks, if it has more HP than at least one neighbor it attacks twice.")</f>
        <v>When this unit attacks, if it has more HP than at least one neighbor it attacks twice.</v>
      </c>
      <c r="L8" s="18" t="str">
        <f>IFERROR(__xludf.DUMMYFUNCTION("""COMPUTED_VALUE"""),"(Neighbor with less HP?)")</f>
        <v>(Neighbor with less HP?)</v>
      </c>
      <c r="M8" s="18" t="str">
        <f>IFERROR(__xludf.DUMMYFUNCTION("""COMPUTED_VALUE"""),"&gt;On Enemy HP Change")</f>
        <v>&gt;On Enemy HP Change</v>
      </c>
      <c r="N8" s="19" t="str">
        <f>IFERROR(__xludf.DUMMYFUNCTION("""COMPUTED_VALUE"""),"(# Times Attack)")</f>
        <v>(# Times Attack)</v>
      </c>
      <c r="O8" s="19" t="str">
        <f>IFERROR(__xludf.DUMMYFUNCTION("""COMPUTED_VALUE"""),"&gt;On Resolve Combat")</f>
        <v>&gt;On Resolve Combat</v>
      </c>
      <c r="P8" s="21" t="str">
        <f>IFERROR(__xludf.DUMMYFUNCTION("""COMPUTED_VALUE"""),"(Neighbor with less HP?)")</f>
        <v>(Neighbor with less HP?)</v>
      </c>
      <c r="Q8" s="26" t="str">
        <f>IFERROR(__xludf.DUMMYFUNCTION("""COMPUTED_VALUE"""),"Each time On Enemy HP Change, checks all Neigbors to see if they have less HP than. If True, then sets (# Times Attack) to 2.")</f>
        <v>Each time On Enemy HP Change, checks all Neigbors to see if they have less HP than. If True, then sets (# Times Attack) to 2.</v>
      </c>
      <c r="R8" s="31" t="str">
        <f>IFERROR(__xludf.DUMMYFUNCTION("""COMPUTED_VALUE"""),"---")</f>
        <v>---</v>
      </c>
      <c r="S8" s="80"/>
      <c r="T8" s="80">
        <f>IFERROR(__xludf.DUMMYFUNCTION("""COMPUTED_VALUE"""),44675.0)</f>
        <v>44675</v>
      </c>
      <c r="U8" s="32" t="str">
        <f>IFERROR(__xludf.DUMMYFUNCTION("""COMPUTED_VALUE"""),"Rework: Changed HP &amp; ATK, created
""Attacks Twice"" condition")</f>
        <v>Rework: Changed HP &amp; ATK, created
"Attacks Twice" condition</v>
      </c>
      <c r="V8" s="32"/>
      <c r="W8" s="32"/>
      <c r="X8" s="32"/>
      <c r="Y8" s="32"/>
      <c r="Z8" s="32"/>
      <c r="AA8" s="32"/>
      <c r="AB8" s="32"/>
      <c r="AC8" s="32"/>
      <c r="AD8" s="32"/>
      <c r="AE8" s="32"/>
    </row>
    <row r="9">
      <c r="A9" s="11" t="b">
        <f>IFERROR(__xludf.DUMMYFUNCTION("""COMPUTED_VALUE"""),TRUE)</f>
        <v>1</v>
      </c>
      <c r="B9" s="12" t="b">
        <f>IFERROR(__xludf.DUMMYFUNCTION("""COMPUTED_VALUE"""),FALSE)</f>
        <v>0</v>
      </c>
      <c r="C9" s="13" t="str">
        <f>IFERROR(__xludf.DUMMYFUNCTION("""COMPUTED_VALUE"""),"M")</f>
        <v>M</v>
      </c>
      <c r="D9" s="14" t="str">
        <f>IFERROR(__xludf.DUMMYFUNCTION("""COMPUTED_VALUE"""),"Commander")</f>
        <v>Commander</v>
      </c>
      <c r="E9" s="36">
        <f>IFERROR(__xludf.DUMMYFUNCTION("""COMPUTED_VALUE"""),4.0)</f>
        <v>4</v>
      </c>
      <c r="F9" s="36" t="str">
        <f>IFERROR(__xludf.DUMMYFUNCTION("""COMPUTED_VALUE"""),"Uncommon")</f>
        <v>Uncommon</v>
      </c>
      <c r="G9" s="36">
        <f>IFERROR(__xludf.DUMMYFUNCTION("""COMPUTED_VALUE"""),3.0)</f>
        <v>3</v>
      </c>
      <c r="H9" s="37">
        <f>IFERROR(__xludf.DUMMYFUNCTION("""COMPUTED_VALUE"""),2.0)</f>
        <v>2</v>
      </c>
      <c r="I9" s="37">
        <f>IFERROR(__xludf.DUMMYFUNCTION("""COMPUTED_VALUE"""),3.0)</f>
        <v>3</v>
      </c>
      <c r="J9" s="38">
        <f>IFERROR(__xludf.DUMMYFUNCTION("""COMPUTED_VALUE"""),3.0)</f>
        <v>3</v>
      </c>
      <c r="K9" s="15" t="str">
        <f>IFERROR(__xludf.DUMMYFUNCTION("""COMPUTED_VALUE"""),"Adds 2 to the ATK of neighboring monsters.")</f>
        <v>Adds 2 to the ATK of neighboring monsters.</v>
      </c>
      <c r="L9" s="18" t="str">
        <f>IFERROR(__xludf.DUMMYFUNCTION("""COMPUTED_VALUE"""),"---")</f>
        <v>---</v>
      </c>
      <c r="M9" s="18" t="str">
        <f>IFERROR(__xludf.DUMMYFUNCTION("""COMPUTED_VALUE"""),"---")</f>
        <v>---</v>
      </c>
      <c r="N9" s="19" t="str">
        <f>IFERROR(__xludf.DUMMYFUNCTION("""COMPUTED_VALUE"""),"Neighboring ATK")</f>
        <v>Neighboring ATK</v>
      </c>
      <c r="O9" s="20" t="str">
        <f>IFERROR(__xludf.DUMMYFUNCTION("""COMPUTED_VALUE"""),"&gt;On Remove Slice")</f>
        <v>&gt;On Remove Slice</v>
      </c>
      <c r="P9" s="21" t="str">
        <f>IFERROR(__xludf.DUMMYFUNCTION("""COMPUTED_VALUE"""),"---")</f>
        <v>---</v>
      </c>
      <c r="Q9" s="22" t="str">
        <f>IFERROR(__xludf.DUMMYFUNCTION("""COMPUTED_VALUE"""),"(Neighboring ATK): This addition to ATK will always take place after all other calculations and modifiers have been added.")</f>
        <v>(Neighboring ATK): This addition to ATK will always take place after all other calculations and modifiers have been added.</v>
      </c>
      <c r="R9" s="23" t="str">
        <f>IFERROR(__xludf.DUMMYFUNCTION("""COMPUTED_VALUE"""),"---")</f>
        <v>---</v>
      </c>
      <c r="S9" s="80"/>
      <c r="T9" s="80">
        <f>IFERROR(__xludf.DUMMYFUNCTION("""COMPUTED_VALUE"""),44675.0)</f>
        <v>44675</v>
      </c>
      <c r="U9" s="32" t="str">
        <f>IFERROR(__xludf.DUMMYFUNCTION("""COMPUTED_VALUE"""),"Rework: removed ""Double Item"" and instead created ""Double ATK/BLK"" function. 
Changed HP and ATK to 10")</f>
        <v>Rework: removed "Double Item" and instead created "Double ATK/BLK" function. 
Changed HP and ATK to 10</v>
      </c>
      <c r="V9" s="32"/>
      <c r="W9" s="32"/>
      <c r="X9" s="32"/>
      <c r="Y9" s="32"/>
      <c r="Z9" s="32"/>
      <c r="AA9" s="32"/>
      <c r="AB9" s="32"/>
      <c r="AC9" s="32"/>
      <c r="AD9" s="32"/>
      <c r="AE9" s="32"/>
    </row>
    <row r="10">
      <c r="A10" s="11" t="b">
        <f>IFERROR(__xludf.DUMMYFUNCTION("""COMPUTED_VALUE"""),FALSE)</f>
        <v>0</v>
      </c>
      <c r="B10" s="12" t="b">
        <f>IFERROR(__xludf.DUMMYFUNCTION("""COMPUTED_VALUE"""),FALSE)</f>
        <v>0</v>
      </c>
      <c r="C10" s="13" t="str">
        <f>IFERROR(__xludf.DUMMYFUNCTION("""COMPUTED_VALUE"""),"M")</f>
        <v>M</v>
      </c>
      <c r="D10" s="14" t="str">
        <f>IFERROR(__xludf.DUMMYFUNCTION("""COMPUTED_VALUE"""),"Dragon")</f>
        <v>Dragon</v>
      </c>
      <c r="E10" s="13">
        <f>IFERROR(__xludf.DUMMYFUNCTION("""COMPUTED_VALUE"""),4.0)</f>
        <v>4</v>
      </c>
      <c r="F10" s="13" t="str">
        <f>IFERROR(__xludf.DUMMYFUNCTION("""COMPUTED_VALUE"""),"Uncommon")</f>
        <v>Uncommon</v>
      </c>
      <c r="G10" s="13">
        <f>IFERROR(__xludf.DUMMYFUNCTION("""COMPUTED_VALUE"""),3.0)</f>
        <v>3</v>
      </c>
      <c r="H10" s="16">
        <f>IFERROR(__xludf.DUMMYFUNCTION("""COMPUTED_VALUE"""),1.0)</f>
        <v>1</v>
      </c>
      <c r="I10" s="16">
        <f>IFERROR(__xludf.DUMMYFUNCTION("""COMPUTED_VALUE"""),4.0)</f>
        <v>4</v>
      </c>
      <c r="J10" s="17">
        <f>IFERROR(__xludf.DUMMYFUNCTION("""COMPUTED_VALUE"""),6.0)</f>
        <v>6</v>
      </c>
      <c r="K10" s="15" t="str">
        <f>IFERROR(__xludf.DUMMYFUNCTION("""COMPUTED_VALUE"""),"This unit's ATK damage ignores block.")</f>
        <v>This unit's ATK damage ignores block.</v>
      </c>
      <c r="L10" s="18" t="str">
        <f>IFERROR(__xludf.DUMMYFUNCTION("""COMPUTED_VALUE"""),"---")</f>
        <v>---</v>
      </c>
      <c r="M10" s="18" t="str">
        <f>IFERROR(__xludf.DUMMYFUNCTION("""COMPUTED_VALUE"""),"---")</f>
        <v>---</v>
      </c>
      <c r="N10" s="19" t="str">
        <f>IFERROR(__xludf.DUMMYFUNCTION("""COMPUTED_VALUE"""),"Initiates
[Double ATK or BLK]
On Spin")</f>
        <v>Initiates
[Double ATK or BLK]
On Spin</v>
      </c>
      <c r="O10" s="20" t="str">
        <f>IFERROR(__xludf.DUMMYFUNCTION("""COMPUTED_VALUE"""),"&gt; On Spin")</f>
        <v>&gt; On Spin</v>
      </c>
      <c r="P10" s="21" t="str">
        <f>IFERROR(__xludf.DUMMYFUNCTION("""COMPUTED_VALUE"""),"[Double ATK or BLK]")</f>
        <v>[Double ATK or BLK]</v>
      </c>
      <c r="Q10" s="22" t="str">
        <f>IFERROR(__xludf.DUMMYFUNCTION("""COMPUTED_VALUE"""),"Once initiated, sets trigger to automatically double the effect of the first time the player gains BLK or deals ATK damage, then removes this trigger.")</f>
        <v>Once initiated, sets trigger to automatically double the effect of the first time the player gains BLK or deals ATK damage, then removes this trigger.</v>
      </c>
      <c r="R10" s="23" t="str">
        <f>IFERROR(__xludf.DUMMYFUNCTION("""COMPUTED_VALUE"""),"---")</f>
        <v>---</v>
      </c>
      <c r="S10" s="80"/>
      <c r="T10" s="80">
        <f>IFERROR(__xludf.DUMMYFUNCTION("""COMPUTED_VALUE"""),44675.0)</f>
        <v>44675</v>
      </c>
      <c r="U10" s="24" t="str">
        <f>IFERROR(__xludf.DUMMYFUNCTION("""COMPUTED_VALUE"""),"Rework: removed ""Double Item"" and instead created ""Double ATK/BLK"" function. 
Changed HP and ATK to 10")</f>
        <v>Rework: removed "Double Item" and instead created "Double ATK/BLK" function. 
Changed HP and ATK to 10</v>
      </c>
      <c r="V10" s="24"/>
      <c r="W10" s="24"/>
      <c r="X10" s="24"/>
      <c r="Y10" s="24"/>
      <c r="Z10" s="24"/>
      <c r="AA10" s="24"/>
      <c r="AB10" s="24"/>
      <c r="AC10" s="24"/>
      <c r="AD10" s="24"/>
      <c r="AE10" s="24"/>
    </row>
    <row r="11">
      <c r="A11" s="11" t="b">
        <f>IFERROR(__xludf.DUMMYFUNCTION("""COMPUTED_VALUE"""),FALSE)</f>
        <v>0</v>
      </c>
      <c r="B11" s="12" t="b">
        <f>IFERROR(__xludf.DUMMYFUNCTION("""COMPUTED_VALUE"""),FALSE)</f>
        <v>0</v>
      </c>
      <c r="C11" s="13" t="str">
        <f>IFERROR(__xludf.DUMMYFUNCTION("""COMPUTED_VALUE"""),"I")</f>
        <v>I</v>
      </c>
      <c r="D11" s="14" t="str">
        <f>IFERROR(__xludf.DUMMYFUNCTION("""COMPUTED_VALUE"""),"Throwing Knife")</f>
        <v>Throwing Knife</v>
      </c>
      <c r="E11" s="13">
        <f>IFERROR(__xludf.DUMMYFUNCTION("""COMPUTED_VALUE"""),1.0)</f>
        <v>1</v>
      </c>
      <c r="F11" s="13" t="str">
        <f>IFERROR(__xludf.DUMMYFUNCTION("""COMPUTED_VALUE"""),"Starter")</f>
        <v>Starter</v>
      </c>
      <c r="G11" s="13">
        <f>IFERROR(__xludf.DUMMYFUNCTION("""COMPUTED_VALUE"""),1.0)</f>
        <v>1</v>
      </c>
      <c r="H11" s="16">
        <f>IFERROR(__xludf.DUMMYFUNCTION("""COMPUTED_VALUE"""),2.0)</f>
        <v>2</v>
      </c>
      <c r="I11" s="16" t="str">
        <f>IFERROR(__xludf.DUMMYFUNCTION("""COMPUTED_VALUE"""),"---")</f>
        <v>---</v>
      </c>
      <c r="J11" s="17" t="str">
        <f>IFERROR(__xludf.DUMMYFUNCTION("""COMPUTED_VALUE"""),"---")</f>
        <v>---</v>
      </c>
      <c r="K11" s="15" t="str">
        <f>IFERROR(__xludf.DUMMYFUNCTION("""COMPUTED_VALUE"""),"(ATK 3),
OR
(ATK 1) and keep this item.")</f>
        <v>(ATK 3),
OR
(ATK 1) and keep this item.</v>
      </c>
      <c r="L11" s="18" t="str">
        <f>IFERROR(__xludf.DUMMYFUNCTION("""COMPUTED_VALUE"""),"---")</f>
        <v>---</v>
      </c>
      <c r="M11" s="18" t="str">
        <f>IFERROR(__xludf.DUMMYFUNCTION("""COMPUTED_VALUE"""),"---")</f>
        <v>---</v>
      </c>
      <c r="N11" s="19" t="str">
        <f>IFERROR(__xludf.DUMMYFUNCTION("""COMPUTED_VALUE"""),"---")</f>
        <v>---</v>
      </c>
      <c r="O11" s="19" t="str">
        <f>IFERROR(__xludf.DUMMYFUNCTION("""COMPUTED_VALUE"""),"---")</f>
        <v>---</v>
      </c>
      <c r="P11" s="21" t="str">
        <f>IFERROR(__xludf.DUMMYFUNCTION("""COMPUTED_VALUE"""),"---")</f>
        <v>---</v>
      </c>
      <c r="Q11" s="41" t="str">
        <f>IFERROR(__xludf.DUMMYFUNCTION("""COMPUTED_VALUE"""),"---")</f>
        <v>---</v>
      </c>
      <c r="R11" s="23" t="str">
        <f>IFERROR(__xludf.DUMMYFUNCTION("""COMPUTED_VALUE"""),"---")</f>
        <v>---</v>
      </c>
      <c r="S11" s="80"/>
      <c r="T11" s="80">
        <f>IFERROR(__xludf.DUMMYFUNCTION("""COMPUTED_VALUE"""),44671.0)</f>
        <v>44671</v>
      </c>
      <c r="U11" s="32" t="str">
        <f>IFERROR(__xludf.DUMMYFUNCTION("""COMPUTED_VALUE"""),"Rework: Combined ""Sword"" and ""Dagger"" into this item.")</f>
        <v>Rework: Combined "Sword" and "Dagger" into this item.</v>
      </c>
      <c r="V11" s="32"/>
      <c r="W11" s="32"/>
      <c r="X11" s="32"/>
      <c r="Y11" s="32"/>
      <c r="Z11" s="32"/>
      <c r="AA11" s="32"/>
      <c r="AB11" s="32"/>
      <c r="AC11" s="32"/>
      <c r="AD11" s="32"/>
      <c r="AE11" s="32"/>
    </row>
    <row r="12">
      <c r="A12" s="11" t="b">
        <f>IFERROR(__xludf.DUMMYFUNCTION("""COMPUTED_VALUE"""),TRUE)</f>
        <v>1</v>
      </c>
      <c r="B12" s="12" t="b">
        <f>IFERROR(__xludf.DUMMYFUNCTION("""COMPUTED_VALUE"""),FALSE)</f>
        <v>0</v>
      </c>
      <c r="C12" s="13" t="str">
        <f>IFERROR(__xludf.DUMMYFUNCTION("""COMPUTED_VALUE"""),"I")</f>
        <v>I</v>
      </c>
      <c r="D12" s="14" t="str">
        <f>IFERROR(__xludf.DUMMYFUNCTION("""COMPUTED_VALUE"""),"Helmet")</f>
        <v>Helmet</v>
      </c>
      <c r="E12" s="13">
        <f>IFERROR(__xludf.DUMMYFUNCTION("""COMPUTED_VALUE"""),2.0)</f>
        <v>2</v>
      </c>
      <c r="F12" s="13" t="str">
        <f>IFERROR(__xludf.DUMMYFUNCTION("""COMPUTED_VALUE"""),"Starter")</f>
        <v>Starter</v>
      </c>
      <c r="G12" s="13">
        <f>IFERROR(__xludf.DUMMYFUNCTION("""COMPUTED_VALUE"""),1.0)</f>
        <v>1</v>
      </c>
      <c r="H12" s="16">
        <f>IFERROR(__xludf.DUMMYFUNCTION("""COMPUTED_VALUE"""),2.0)</f>
        <v>2</v>
      </c>
      <c r="I12" s="16" t="str">
        <f>IFERROR(__xludf.DUMMYFUNCTION("""COMPUTED_VALUE"""),"---")</f>
        <v>---</v>
      </c>
      <c r="J12" s="17" t="str">
        <f>IFERROR(__xludf.DUMMYFUNCTION("""COMPUTED_VALUE"""),"---")</f>
        <v>---</v>
      </c>
      <c r="K12" s="15" t="str">
        <f>IFERROR(__xludf.DUMMYFUNCTION("""COMPUTED_VALUE"""),"(BLK X), where X is the lowest HP between you and the enemy.")</f>
        <v>(BLK X), where X is the lowest HP between you and the enemy.</v>
      </c>
      <c r="L12" s="18" t="str">
        <f>IFERROR(__xludf.DUMMYFUNCTION("""COMPUTED_VALUE"""),"[Lowest HP]")</f>
        <v>[Lowest HP]</v>
      </c>
      <c r="M12" s="18" t="str">
        <f>IFERROR(__xludf.DUMMYFUNCTION("""COMPUTED_VALUE"""),"&gt;On Spin
&gt;On HP Change
&gt;On Enemy HP Change")</f>
        <v>&gt;On Spin
&gt;On HP Change
&gt;On Enemy HP Change</v>
      </c>
      <c r="N12" s="19" t="str">
        <f>IFERROR(__xludf.DUMMYFUNCTION("""COMPUTED_VALUE"""),"Its own BLK")</f>
        <v>Its own BLK</v>
      </c>
      <c r="O12" s="34" t="str">
        <f>IFERROR(__xludf.DUMMYFUNCTION("""COMPUTED_VALUE"""),"&gt;On Spin
&gt;On HP Change
&gt;On Enemy HP Change")</f>
        <v>&gt;On Spin
&gt;On HP Change
&gt;On Enemy HP Change</v>
      </c>
      <c r="P12" s="21" t="str">
        <f>IFERROR(__xludf.DUMMYFUNCTION("""COMPUTED_VALUE"""),"[Lowest HP]")</f>
        <v>[Lowest HP]</v>
      </c>
      <c r="Q12" s="83" t="str">
        <f>IFERROR(__xludf.DUMMYFUNCTION("""COMPUTED_VALUE"""),"[Lowest HP]: Compares the player's current HP against the enemy's current HP and takes the lower value as X (or the Player's value if tied).
This ""check"" occurs every time the enemy's HP changes, or the player's HP changes.")</f>
        <v>[Lowest HP]: Compares the player's current HP against the enemy's current HP and takes the lower value as X (or the Player's value if tied).
This "check" occurs every time the enemy's HP changes, or the player's HP changes.</v>
      </c>
      <c r="R12" s="31"/>
      <c r="S12" s="80"/>
      <c r="T12" s="80">
        <f>IFERROR(__xludf.DUMMYFUNCTION("""COMPUTED_VALUE"""),44675.0)</f>
        <v>44675</v>
      </c>
      <c r="U12" s="32" t="str">
        <f>IFERROR(__xludf.DUMMYFUNCTION("""COMPUTED_VALUE"""),"Rework: Changed BLK from
X = Enemy HP
to
X = Lowest HP between you and enemy")</f>
        <v>Rework: Changed BLK from
X = Enemy HP
to
X = Lowest HP between you and enemy</v>
      </c>
      <c r="V12" s="32"/>
      <c r="W12" s="32"/>
      <c r="X12" s="32"/>
      <c r="Y12" s="32"/>
      <c r="Z12" s="32"/>
      <c r="AA12" s="32"/>
      <c r="AB12" s="32"/>
      <c r="AC12" s="32"/>
      <c r="AD12" s="32"/>
      <c r="AE12" s="32"/>
    </row>
    <row r="13">
      <c r="A13" s="11" t="b">
        <f>IFERROR(__xludf.DUMMYFUNCTION("""COMPUTED_VALUE"""),TRUE)</f>
        <v>1</v>
      </c>
      <c r="B13" s="12" t="b">
        <f>IFERROR(__xludf.DUMMYFUNCTION("""COMPUTED_VALUE"""),FALSE)</f>
        <v>0</v>
      </c>
      <c r="C13" s="13" t="str">
        <f>IFERROR(__xludf.DUMMYFUNCTION("""COMPUTED_VALUE"""),"I")</f>
        <v>I</v>
      </c>
      <c r="D13" s="14" t="str">
        <f>IFERROR(__xludf.DUMMYFUNCTION("""COMPUTED_VALUE"""),"Bracers")</f>
        <v>Bracers</v>
      </c>
      <c r="E13" s="13">
        <f>IFERROR(__xludf.DUMMYFUNCTION("""COMPUTED_VALUE"""),3.0)</f>
        <v>3</v>
      </c>
      <c r="F13" s="13" t="str">
        <f>IFERROR(__xludf.DUMMYFUNCTION("""COMPUTED_VALUE"""),"Starter")</f>
        <v>Starter</v>
      </c>
      <c r="G13" s="13">
        <f>IFERROR(__xludf.DUMMYFUNCTION("""COMPUTED_VALUE"""),2.0)</f>
        <v>2</v>
      </c>
      <c r="H13" s="16">
        <f>IFERROR(__xludf.DUMMYFUNCTION("""COMPUTED_VALUE"""),2.0)</f>
        <v>2</v>
      </c>
      <c r="I13" s="16" t="str">
        <f>IFERROR(__xludf.DUMMYFUNCTION("""COMPUTED_VALUE"""),"---")</f>
        <v>---</v>
      </c>
      <c r="J13" s="17" t="str">
        <f>IFERROR(__xludf.DUMMYFUNCTION("""COMPUTED_VALUE"""),"---")</f>
        <v>---</v>
      </c>
      <c r="K13" s="15" t="str">
        <f>IFERROR(__xludf.DUMMYFUNCTION("""COMPUTED_VALUE"""),"(BLK X) equal to the ATK of the weakest neighboring enemy.")</f>
        <v>(BLK X) equal to the ATK of the weakest neighboring enemy.</v>
      </c>
      <c r="L13" s="18" t="str">
        <f>IFERROR(__xludf.DUMMYFUNCTION("""COMPUTED_VALUE"""),"[Neighbors' lowest ATK]")</f>
        <v>[Neighbors' lowest ATK]</v>
      </c>
      <c r="M13" s="18" t="str">
        <f>IFERROR(__xludf.DUMMYFUNCTION("""COMPUTED_VALUE"""),"&gt;On Spin")</f>
        <v>&gt;On Spin</v>
      </c>
      <c r="N13" s="19" t="str">
        <f>IFERROR(__xludf.DUMMYFUNCTION("""COMPUTED_VALUE"""),"Its own BLK")</f>
        <v>Its own BLK</v>
      </c>
      <c r="O13" s="19" t="str">
        <f>IFERROR(__xludf.DUMMYFUNCTION("""COMPUTED_VALUE"""),"&gt;On Spin")</f>
        <v>&gt;On Spin</v>
      </c>
      <c r="P13" s="21" t="str">
        <f>IFERROR(__xludf.DUMMYFUNCTION("""COMPUTED_VALUE"""),"---")</f>
        <v>---</v>
      </c>
      <c r="Q13" s="39" t="str">
        <f>IFERROR(__xludf.DUMMYFUNCTION("""COMPUTED_VALUE"""),"---")</f>
        <v>---</v>
      </c>
      <c r="R13" s="23" t="str">
        <f>IFERROR(__xludf.DUMMYFUNCTION("""COMPUTED_VALUE"""),"Edge Case: When fighting the final enemy, this item becomes unusable.")</f>
        <v>Edge Case: When fighting the final enemy, this item becomes unusable.</v>
      </c>
      <c r="S13" s="80"/>
      <c r="T13" s="80">
        <f>IFERROR(__xludf.DUMMYFUNCTION("""COMPUTED_VALUE"""),44675.0)</f>
        <v>44675</v>
      </c>
      <c r="U13" s="32" t="str">
        <f>IFERROR(__xludf.DUMMYFUNCTION("""COMPUTED_VALUE"""),"Rework: removed ""choose ATK or BLK"" and changed to
(BLK X), X=Lowest neighboring ATK")</f>
        <v>Rework: removed "choose ATK or BLK" and changed to
(BLK X), X=Lowest neighboring ATK</v>
      </c>
      <c r="V13" s="32"/>
      <c r="W13" s="32"/>
      <c r="X13" s="32"/>
      <c r="Y13" s="32"/>
      <c r="Z13" s="32"/>
      <c r="AA13" s="32"/>
      <c r="AB13" s="32"/>
      <c r="AC13" s="32"/>
      <c r="AD13" s="32"/>
      <c r="AE13" s="32"/>
    </row>
    <row r="14">
      <c r="A14" s="11" t="b">
        <f>IFERROR(__xludf.DUMMYFUNCTION("""COMPUTED_VALUE"""),TRUE)</f>
        <v>1</v>
      </c>
      <c r="B14" s="12" t="b">
        <f>IFERROR(__xludf.DUMMYFUNCTION("""COMPUTED_VALUE"""),FALSE)</f>
        <v>0</v>
      </c>
      <c r="C14" s="13" t="str">
        <f>IFERROR(__xludf.DUMMYFUNCTION("""COMPUTED_VALUE"""),"I")</f>
        <v>I</v>
      </c>
      <c r="D14" s="14" t="str">
        <f>IFERROR(__xludf.DUMMYFUNCTION("""COMPUTED_VALUE"""),"Knucklers")</f>
        <v>Knucklers</v>
      </c>
      <c r="E14" s="13">
        <f>IFERROR(__xludf.DUMMYFUNCTION("""COMPUTED_VALUE"""),3.0)</f>
        <v>3</v>
      </c>
      <c r="F14" s="13" t="str">
        <f>IFERROR(__xludf.DUMMYFUNCTION("""COMPUTED_VALUE"""),"Starter")</f>
        <v>Starter</v>
      </c>
      <c r="G14" s="13">
        <f>IFERROR(__xludf.DUMMYFUNCTION("""COMPUTED_VALUE"""),2.0)</f>
        <v>2</v>
      </c>
      <c r="H14" s="16">
        <f>IFERROR(__xludf.DUMMYFUNCTION("""COMPUTED_VALUE"""),2.0)</f>
        <v>2</v>
      </c>
      <c r="I14" s="16" t="str">
        <f>IFERROR(__xludf.DUMMYFUNCTION("""COMPUTED_VALUE"""),"---")</f>
        <v>---</v>
      </c>
      <c r="J14" s="17" t="str">
        <f>IFERROR(__xludf.DUMMYFUNCTION("""COMPUTED_VALUE"""),"---")</f>
        <v>---</v>
      </c>
      <c r="K14" s="15" t="str">
        <f>IFERROR(__xludf.DUMMYFUNCTION("""COMPUTED_VALUE"""),"(ATK 7-X), where X is the number of items you have at the start of combat.")</f>
        <v>(ATK 7-X), where X is the number of items you have at the start of combat.</v>
      </c>
      <c r="L14" s="18" t="str">
        <f>IFERROR(__xludf.DUMMYFUNCTION("""COMPUTED_VALUE"""),"(# Items)")</f>
        <v>(# Items)</v>
      </c>
      <c r="M14" s="18" t="str">
        <f>IFERROR(__xludf.DUMMYFUNCTION("""COMPUTED_VALUE"""),"&gt;On Draft
&gt;On Spin")</f>
        <v>&gt;On Draft
&gt;On Spin</v>
      </c>
      <c r="N14" s="19" t="str">
        <f>IFERROR(__xludf.DUMMYFUNCTION("""COMPUTED_VALUE"""),"Its own ATK")</f>
        <v>Its own ATK</v>
      </c>
      <c r="O14" s="19" t="str">
        <f>IFERROR(__xludf.DUMMYFUNCTION("""COMPUTED_VALUE"""),"&gt;On Spin
&gt;On HP Change
&gt;On Enemy HP Change")</f>
        <v>&gt;On Spin
&gt;On HP Change
&gt;On Enemy HP Change</v>
      </c>
      <c r="P14" s="21" t="str">
        <f>IFERROR(__xludf.DUMMYFUNCTION("""COMPUTED_VALUE"""),"(HP Delta)")</f>
        <v>(HP Delta)</v>
      </c>
      <c r="Q14" s="84" t="str">
        <f>IFERROR(__xludf.DUMMYFUNCTION("""COMPUTED_VALUE"""),"[HP Delta] - Takes the absolute value (i.e. positive or negative) of the delta between the player and enemy's HP.")</f>
        <v>[HP Delta] - Takes the absolute value (i.e. positive or negative) of the delta between the player and enemy's HP.</v>
      </c>
      <c r="R14" s="23" t="str">
        <f>IFERROR(__xludf.DUMMYFUNCTION("""COMPUTED_VALUE"""),"---")</f>
        <v>---</v>
      </c>
      <c r="S14" s="80"/>
      <c r="T14" s="80">
        <f>IFERROR(__xludf.DUMMYFUNCTION("""COMPUTED_VALUE"""),44683.0)</f>
        <v>44683</v>
      </c>
      <c r="U14" s="24" t="str">
        <f>IFERROR(__xludf.DUMMYFUNCTION("""COMPUTED_VALUE"""),"Tier 2--&gt;3
Nerfed from Heal 4--&gt;3")</f>
        <v>Tier 2--&gt;3
Nerfed from Heal 4--&gt;3</v>
      </c>
      <c r="V14" s="24"/>
      <c r="W14" s="24"/>
      <c r="X14" s="24"/>
      <c r="Y14" s="24"/>
      <c r="Z14" s="24"/>
      <c r="AA14" s="24"/>
      <c r="AB14" s="24"/>
      <c r="AC14" s="24"/>
      <c r="AD14" s="24"/>
      <c r="AE14" s="24"/>
    </row>
    <row r="15">
      <c r="A15" s="11" t="b">
        <f>IFERROR(__xludf.DUMMYFUNCTION("""COMPUTED_VALUE"""),FALSE)</f>
        <v>0</v>
      </c>
      <c r="B15" s="12" t="b">
        <f>IFERROR(__xludf.DUMMYFUNCTION("""COMPUTED_VALUE"""),FALSE)</f>
        <v>0</v>
      </c>
      <c r="C15" s="13" t="str">
        <f>IFERROR(__xludf.DUMMYFUNCTION("""COMPUTED_VALUE"""),"I")</f>
        <v>I</v>
      </c>
      <c r="D15" s="14" t="str">
        <f>IFERROR(__xludf.DUMMYFUNCTION("""COMPUTED_VALUE"""),"Poison Flask")</f>
        <v>Poison Flask</v>
      </c>
      <c r="E15" s="13">
        <f>IFERROR(__xludf.DUMMYFUNCTION("""COMPUTED_VALUE"""),4.0)</f>
        <v>4</v>
      </c>
      <c r="F15" s="13" t="str">
        <f>IFERROR(__xludf.DUMMYFUNCTION("""COMPUTED_VALUE"""),"Uncommon")</f>
        <v>Uncommon</v>
      </c>
      <c r="G15" s="13">
        <f>IFERROR(__xludf.DUMMYFUNCTION("""COMPUTED_VALUE"""),2.0)</f>
        <v>2</v>
      </c>
      <c r="H15" s="16">
        <f>IFERROR(__xludf.DUMMYFUNCTION("""COMPUTED_VALUE"""),2.0)</f>
        <v>2</v>
      </c>
      <c r="I15" s="16" t="str">
        <f>IFERROR(__xludf.DUMMYFUNCTION("""COMPUTED_VALUE"""),"---")</f>
        <v>---</v>
      </c>
      <c r="J15" s="17" t="str">
        <f>IFERROR(__xludf.DUMMYFUNCTION("""COMPUTED_VALUE"""),"---")</f>
        <v>---</v>
      </c>
      <c r="K15" s="15" t="str">
        <f>IFERROR(__xludf.DUMMYFUNCTION("""COMPUTED_VALUE"""),"Choose a neighbor. Once they appear in combat, they lose 5 HP instantly.")</f>
        <v>Choose a neighbor. Once they appear in combat, they lose 5 HP instantly.</v>
      </c>
      <c r="L15" s="18" t="str">
        <f>IFERROR(__xludf.DUMMYFUNCTION("""COMPUTED_VALUE"""),"---")</f>
        <v>---</v>
      </c>
      <c r="M15" s="18" t="str">
        <f>IFERROR(__xludf.DUMMYFUNCTION("""COMPUTED_VALUE"""),"---")</f>
        <v>---</v>
      </c>
      <c r="N15" s="19" t="str">
        <f>IFERROR(__xludf.DUMMYFUNCTION("""COMPUTED_VALUE"""),"[Choose Neighbor]
Options")</f>
        <v>[Choose Neighbor]
Options</v>
      </c>
      <c r="O15" s="19" t="str">
        <f>IFERROR(__xludf.DUMMYFUNCTION("""COMPUTED_VALUE"""),"&gt;On Spin")</f>
        <v>&gt;On Spin</v>
      </c>
      <c r="P15" s="21" t="str">
        <f>IFERROR(__xludf.DUMMYFUNCTION("""COMPUTED_VALUE"""),"[Choose Neighbor]
[Poison]")</f>
        <v>[Choose Neighbor]
[Poison]</v>
      </c>
      <c r="Q15" s="35" t="str">
        <f>IFERROR(__xludf.DUMMYFUNCTION("""COMPUTED_VALUE"""),"[Choose Neighbor] - A prompt appears and allows the player to select a Neighbor to the current enemy.
[Poison] - Set a (Poisoned) state on that enemy. When that enemy appears On Spin, they immediately lose 5 HP. This may kill the enemy, which would jump "&amp;"the player straight to Resolve Combat.")</f>
        <v>[Choose Neighbor] - A prompt appears and allows the player to select a Neighbor to the current enemy.
[Poison] - Set a (Poisoned) state on that enemy. When that enemy appears On Spin, they immediately lose 5 HP. This may kill the enemy, which would jump the player straight to Resolve Combat.</v>
      </c>
      <c r="R15" s="23" t="str">
        <f>IFERROR(__xludf.DUMMYFUNCTION("""COMPUTED_VALUE"""),"Edge Case: If there are 0 neighbors (this is the last enemy), this item is unusable  
Edge Case: If the player has already used Crossbow on a neighbor, remove them from [Choose Neighbor].
Edge Case: The term ""lose HP"" is not considered ATK Dmg - in ot"&amp;"her words, this item can be used to kill Goblin.")</f>
        <v>Edge Case: If there are 0 neighbors (this is the last enemy), this item is unusable  
Edge Case: If the player has already used Crossbow on a neighbor, remove them from [Choose Neighbor].
Edge Case: The term "lose HP" is not considered ATK Dmg - in other words, this item can be used to kill Goblin.</v>
      </c>
      <c r="S15" s="80"/>
      <c r="T15" s="80">
        <f>IFERROR(__xludf.DUMMYFUNCTION("""COMPUTED_VALUE"""),44683.0)</f>
        <v>44683</v>
      </c>
      <c r="U15" s="32" t="str">
        <f>IFERROR(__xludf.DUMMYFUNCTION("""COMPUTED_VALUE"""),"(Slight) rework: does not ""Defeat"" enemy, but instead removes 5 HP at start of combat (which will likely defeat them).")</f>
        <v>(Slight) rework: does not "Defeat" enemy, but instead removes 5 HP at start of combat (which will likely defeat them).</v>
      </c>
      <c r="V15" s="32"/>
      <c r="W15" s="32"/>
      <c r="X15" s="32"/>
      <c r="Y15" s="32"/>
      <c r="Z15" s="32"/>
      <c r="AA15" s="32"/>
      <c r="AB15" s="32"/>
      <c r="AC15" s="32"/>
      <c r="AD15" s="32"/>
      <c r="AE15" s="32"/>
    </row>
    <row r="16">
      <c r="A16" s="11" t="b">
        <f>IFERROR(__xludf.DUMMYFUNCTION("""COMPUTED_VALUE"""),TRUE)</f>
        <v>1</v>
      </c>
      <c r="B16" s="12" t="b">
        <f>IFERROR(__xludf.DUMMYFUNCTION("""COMPUTED_VALUE"""),FALSE)</f>
        <v>0</v>
      </c>
      <c r="C16" s="13" t="str">
        <f>IFERROR(__xludf.DUMMYFUNCTION("""COMPUTED_VALUE"""),"I")</f>
        <v>I</v>
      </c>
      <c r="D16" s="112" t="str">
        <f>IFERROR(__xludf.DUMMYFUNCTION("""COMPUTED_VALUE"""),"Spiked Flail")</f>
        <v>Spiked Flail</v>
      </c>
      <c r="E16" s="13">
        <f>IFERROR(__xludf.DUMMYFUNCTION("""COMPUTED_VALUE"""),4.0)</f>
        <v>4</v>
      </c>
      <c r="F16" s="13" t="str">
        <f>IFERROR(__xludf.DUMMYFUNCTION("""COMPUTED_VALUE"""),"Starter")</f>
        <v>Starter</v>
      </c>
      <c r="G16" s="13">
        <f>IFERROR(__xludf.DUMMYFUNCTION("""COMPUTED_VALUE"""),3.0)</f>
        <v>3</v>
      </c>
      <c r="H16" s="16">
        <f>IFERROR(__xludf.DUMMYFUNCTION("""COMPUTED_VALUE"""),1.0)</f>
        <v>1</v>
      </c>
      <c r="I16" s="16" t="str">
        <f>IFERROR(__xludf.DUMMYFUNCTION("""COMPUTED_VALUE"""),"---")</f>
        <v>---</v>
      </c>
      <c r="J16" s="17" t="str">
        <f>IFERROR(__xludf.DUMMYFUNCTION("""COMPUTED_VALUE"""),"---")</f>
        <v>---</v>
      </c>
      <c r="K16" s="15" t="str">
        <f>IFERROR(__xludf.DUMMYFUNCTION("""COMPUTED_VALUE"""),"(ATK 2+X), where X is the number of monsters you have defeated.")</f>
        <v>(ATK 2+X), where X is the number of monsters you have defeated.</v>
      </c>
      <c r="L16" s="18" t="str">
        <f>IFERROR(__xludf.DUMMYFUNCTION("""COMPUTED_VALUE"""),"(# Mob Defeated)")</f>
        <v>(# Mob Defeated)</v>
      </c>
      <c r="M16" s="18" t="str">
        <f>IFERROR(__xludf.DUMMYFUNCTION("""COMPUTED_VALUE"""),"&gt;On Remove Slice")</f>
        <v>&gt;On Remove Slice</v>
      </c>
      <c r="N16" s="19" t="str">
        <f>IFERROR(__xludf.DUMMYFUNCTION("""COMPUTED_VALUE"""),"Its own ATK")</f>
        <v>Its own ATK</v>
      </c>
      <c r="O16" s="19" t="str">
        <f>IFERROR(__xludf.DUMMYFUNCTION("""COMPUTED_VALUE"""),"&gt;On Remove Slice")</f>
        <v>&gt;On Remove Slice</v>
      </c>
      <c r="P16" s="21" t="str">
        <f>IFERROR(__xludf.DUMMYFUNCTION("""COMPUTED_VALUE"""),"[Highest HP]")</f>
        <v>[Highest HP]</v>
      </c>
      <c r="Q16" s="26" t="str">
        <f>IFERROR(__xludf.DUMMYFUNCTION("""COMPUTED_VALUE"""),"[Highest HP]: Compares the player's current HP against the enemy's current HP and takes the higher value as X (or the Player's value if tied).
This ""check"" occurs every time the enemy's HP changes, or the player's HP changes.")</f>
        <v>[Highest HP]: Compares the player's current HP against the enemy's current HP and takes the higher value as X (or the Player's value if tied).
This "check" occurs every time the enemy's HP changes, or the player's HP changes.</v>
      </c>
      <c r="R16" s="29"/>
      <c r="S16" s="80"/>
      <c r="T16" s="80">
        <f>IFERROR(__xludf.DUMMYFUNCTION("""COMPUTED_VALUE"""),44675.0)</f>
        <v>44675</v>
      </c>
      <c r="U16" s="32" t="str">
        <f>IFERROR(__xludf.DUMMYFUNCTION("""COMPUTED_VALUE"""),"Rework: Changed ATK from
(2X), X=Lowest HP between you and enemy
to
(2+X), X=Mobs defeated")</f>
        <v>Rework: Changed ATK from
(2X), X=Lowest HP between you and enemy
to
(2+X), X=Mobs defeated</v>
      </c>
      <c r="V16" s="32"/>
      <c r="W16" s="32"/>
      <c r="X16" s="32"/>
      <c r="Y16" s="32"/>
      <c r="Z16" s="32"/>
      <c r="AA16" s="32"/>
      <c r="AB16" s="32"/>
      <c r="AC16" s="32"/>
      <c r="AD16" s="32"/>
      <c r="AE16" s="32"/>
    </row>
    <row r="17">
      <c r="A17" s="11"/>
      <c r="B17" s="12"/>
      <c r="C17" s="13"/>
      <c r="D17" s="112"/>
      <c r="E17" s="13"/>
      <c r="F17" s="13"/>
      <c r="G17" s="13"/>
      <c r="H17" s="16"/>
      <c r="I17" s="16"/>
      <c r="J17" s="25"/>
      <c r="K17" s="15"/>
      <c r="L17" s="18"/>
      <c r="M17" s="18"/>
      <c r="N17" s="19"/>
      <c r="O17" s="19"/>
      <c r="P17" s="21"/>
      <c r="Q17" s="26"/>
      <c r="R17" s="23"/>
      <c r="S17" s="80"/>
      <c r="T17" s="32"/>
      <c r="U17" s="32"/>
      <c r="V17" s="32"/>
      <c r="W17" s="32"/>
      <c r="X17" s="32"/>
      <c r="Y17" s="32"/>
      <c r="Z17" s="32"/>
      <c r="AA17" s="32"/>
      <c r="AB17" s="32"/>
      <c r="AC17" s="32"/>
      <c r="AD17" s="32"/>
      <c r="AE17" s="32"/>
    </row>
    <row r="18">
      <c r="A18" s="42"/>
      <c r="B18" s="43"/>
      <c r="C18" s="44"/>
      <c r="D18" s="113"/>
      <c r="E18" s="13"/>
      <c r="F18" s="13"/>
      <c r="G18" s="13"/>
      <c r="H18" s="13"/>
      <c r="I18" s="13"/>
      <c r="J18" s="17"/>
      <c r="K18" s="15"/>
      <c r="L18" s="18"/>
      <c r="M18" s="46"/>
      <c r="N18" s="34"/>
      <c r="O18" s="34"/>
      <c r="P18" s="47"/>
      <c r="Q18" s="22"/>
      <c r="R18" s="23"/>
      <c r="S18" s="80"/>
      <c r="T18" s="32"/>
      <c r="U18" s="32"/>
      <c r="V18" s="32"/>
      <c r="W18" s="32"/>
      <c r="X18" s="32"/>
      <c r="Y18" s="32"/>
      <c r="Z18" s="32"/>
      <c r="AA18" s="32"/>
      <c r="AB18" s="32"/>
      <c r="AC18" s="32"/>
      <c r="AD18" s="32"/>
      <c r="AE18" s="32"/>
    </row>
    <row r="19">
      <c r="A19" s="42"/>
      <c r="B19" s="43"/>
      <c r="C19" s="44"/>
      <c r="D19" s="113"/>
      <c r="E19" s="36"/>
      <c r="F19" s="36"/>
      <c r="G19" s="36"/>
      <c r="H19" s="36"/>
      <c r="I19" s="36"/>
      <c r="J19" s="38"/>
      <c r="K19" s="15"/>
      <c r="L19" s="18"/>
      <c r="M19" s="18"/>
      <c r="N19" s="19"/>
      <c r="O19" s="19"/>
      <c r="P19" s="27"/>
      <c r="Q19" s="28"/>
      <c r="R19" s="53"/>
      <c r="S19" s="80"/>
      <c r="T19" s="54"/>
      <c r="U19" s="54"/>
      <c r="V19" s="54"/>
      <c r="W19" s="54"/>
      <c r="X19" s="54"/>
      <c r="Y19" s="54"/>
      <c r="Z19" s="54"/>
      <c r="AA19" s="54"/>
      <c r="AB19" s="54"/>
      <c r="AC19" s="54"/>
      <c r="AD19" s="54"/>
      <c r="AE19" s="54"/>
    </row>
    <row r="20">
      <c r="A20" s="42"/>
      <c r="B20" s="43"/>
      <c r="C20" s="44"/>
      <c r="D20" s="113"/>
      <c r="E20" s="13"/>
      <c r="F20" s="13"/>
      <c r="G20" s="13"/>
      <c r="H20" s="13"/>
      <c r="I20" s="13"/>
      <c r="J20" s="17"/>
      <c r="K20" s="15"/>
      <c r="L20" s="46"/>
      <c r="M20" s="46"/>
      <c r="N20" s="34"/>
      <c r="O20" s="34"/>
      <c r="P20" s="47"/>
      <c r="Q20" s="22"/>
      <c r="R20" s="23"/>
      <c r="S20" s="80"/>
      <c r="T20" s="24"/>
      <c r="U20" s="24"/>
      <c r="V20" s="24"/>
      <c r="W20" s="24"/>
      <c r="X20" s="24"/>
      <c r="Y20" s="24"/>
      <c r="Z20" s="24"/>
      <c r="AA20" s="24"/>
      <c r="AB20" s="24"/>
      <c r="AC20" s="24"/>
      <c r="AD20" s="24"/>
      <c r="AE20" s="24"/>
    </row>
    <row r="21">
      <c r="A21" s="42"/>
      <c r="B21" s="43"/>
      <c r="C21" s="44"/>
      <c r="D21" s="113"/>
      <c r="E21" s="13"/>
      <c r="F21" s="13"/>
      <c r="G21" s="13"/>
      <c r="H21" s="13"/>
      <c r="I21" s="13"/>
      <c r="J21" s="17"/>
      <c r="K21" s="15"/>
      <c r="L21" s="18"/>
      <c r="M21" s="48"/>
      <c r="N21" s="19"/>
      <c r="O21" s="49"/>
      <c r="P21" s="27"/>
      <c r="Q21" s="28"/>
      <c r="R21" s="50"/>
      <c r="S21" s="80"/>
      <c r="T21" s="51"/>
      <c r="U21" s="51"/>
      <c r="V21" s="51"/>
      <c r="W21" s="51"/>
      <c r="X21" s="51"/>
      <c r="Y21" s="51"/>
      <c r="Z21" s="51"/>
      <c r="AA21" s="51"/>
      <c r="AB21" s="51"/>
      <c r="AC21" s="51"/>
      <c r="AD21" s="51"/>
      <c r="AE21" s="51"/>
    </row>
    <row r="22">
      <c r="A22" s="42"/>
      <c r="B22" s="43"/>
      <c r="C22" s="44"/>
      <c r="D22" s="113"/>
      <c r="E22" s="13"/>
      <c r="F22" s="13"/>
      <c r="G22" s="13"/>
      <c r="H22" s="13"/>
      <c r="I22" s="13"/>
      <c r="J22" s="17"/>
      <c r="K22" s="15"/>
      <c r="L22" s="18"/>
      <c r="M22" s="48"/>
      <c r="N22" s="19"/>
      <c r="O22" s="52"/>
      <c r="P22" s="27"/>
      <c r="Q22" s="28"/>
      <c r="R22" s="53"/>
      <c r="S22" s="80"/>
      <c r="T22" s="32"/>
      <c r="U22" s="32"/>
      <c r="V22" s="32"/>
      <c r="W22" s="32"/>
      <c r="X22" s="32"/>
      <c r="Y22" s="32"/>
      <c r="Z22" s="32"/>
      <c r="AA22" s="32"/>
      <c r="AB22" s="32"/>
      <c r="AC22" s="32"/>
      <c r="AD22" s="32"/>
      <c r="AE22" s="32"/>
    </row>
    <row r="23">
      <c r="A23" s="42"/>
      <c r="B23" s="43"/>
      <c r="C23" s="44"/>
      <c r="D23" s="113"/>
      <c r="E23" s="13"/>
      <c r="F23" s="13"/>
      <c r="G23" s="13"/>
      <c r="H23" s="13"/>
      <c r="I23" s="13"/>
      <c r="J23" s="17"/>
      <c r="K23" s="15"/>
      <c r="L23" s="18"/>
      <c r="M23" s="48"/>
      <c r="N23" s="19"/>
      <c r="O23" s="52"/>
      <c r="P23" s="27"/>
      <c r="Q23" s="28"/>
      <c r="R23" s="53"/>
      <c r="S23" s="80"/>
      <c r="T23" s="54"/>
      <c r="U23" s="54"/>
      <c r="V23" s="54"/>
      <c r="W23" s="54"/>
      <c r="X23" s="54"/>
      <c r="Y23" s="54"/>
      <c r="Z23" s="54"/>
      <c r="AA23" s="54"/>
      <c r="AB23" s="54"/>
      <c r="AC23" s="54"/>
      <c r="AD23" s="54"/>
      <c r="AE23" s="54"/>
    </row>
    <row r="24">
      <c r="A24" s="42"/>
      <c r="B24" s="43"/>
      <c r="C24" s="44"/>
      <c r="D24" s="113"/>
      <c r="E24" s="13"/>
      <c r="F24" s="13"/>
      <c r="G24" s="13"/>
      <c r="H24" s="13"/>
      <c r="I24" s="13"/>
      <c r="J24" s="17"/>
      <c r="K24" s="15"/>
      <c r="L24" s="55"/>
      <c r="M24" s="56"/>
      <c r="N24" s="19"/>
      <c r="O24" s="57"/>
      <c r="P24" s="27"/>
      <c r="Q24" s="58"/>
      <c r="R24" s="53"/>
      <c r="S24" s="80"/>
      <c r="T24" s="32"/>
      <c r="U24" s="32"/>
      <c r="V24" s="32"/>
      <c r="W24" s="32"/>
      <c r="X24" s="32"/>
      <c r="Y24" s="32"/>
      <c r="Z24" s="32"/>
      <c r="AA24" s="32"/>
      <c r="AB24" s="32"/>
      <c r="AC24" s="32"/>
      <c r="AD24" s="32"/>
      <c r="AE24" s="32"/>
    </row>
    <row r="25">
      <c r="A25" s="42"/>
      <c r="B25" s="43"/>
      <c r="C25" s="44"/>
      <c r="D25" s="112"/>
      <c r="E25" s="13"/>
      <c r="F25" s="13"/>
      <c r="G25" s="13"/>
      <c r="H25" s="13"/>
      <c r="I25" s="13"/>
      <c r="J25" s="17"/>
      <c r="K25" s="15"/>
      <c r="L25" s="18"/>
      <c r="M25" s="48"/>
      <c r="N25" s="19"/>
      <c r="O25" s="19"/>
      <c r="P25" s="27"/>
      <c r="Q25" s="28"/>
      <c r="R25" s="23"/>
      <c r="S25" s="80"/>
      <c r="T25" s="24"/>
      <c r="U25" s="24"/>
      <c r="V25" s="24"/>
      <c r="W25" s="24"/>
      <c r="X25" s="24"/>
      <c r="Y25" s="24"/>
      <c r="Z25" s="24"/>
      <c r="AA25" s="24"/>
      <c r="AB25" s="24"/>
      <c r="AC25" s="24"/>
      <c r="AD25" s="24"/>
      <c r="AE25" s="24"/>
    </row>
    <row r="26">
      <c r="A26" s="42"/>
      <c r="B26" s="43"/>
      <c r="C26" s="44"/>
      <c r="D26" s="113"/>
      <c r="E26" s="13"/>
      <c r="F26" s="13"/>
      <c r="G26" s="13"/>
      <c r="H26" s="13"/>
      <c r="I26" s="13"/>
      <c r="J26" s="17"/>
      <c r="K26" s="15"/>
      <c r="L26" s="18"/>
      <c r="M26" s="48"/>
      <c r="N26" s="19"/>
      <c r="O26" s="19"/>
      <c r="P26" s="27"/>
      <c r="Q26" s="28"/>
      <c r="R26" s="29"/>
      <c r="S26" s="80"/>
      <c r="T26" s="30"/>
      <c r="U26" s="30"/>
      <c r="V26" s="30"/>
      <c r="W26" s="30"/>
      <c r="X26" s="30"/>
      <c r="Y26" s="30"/>
      <c r="Z26" s="30"/>
      <c r="AA26" s="30"/>
      <c r="AB26" s="30"/>
      <c r="AC26" s="30"/>
      <c r="AD26" s="30"/>
      <c r="AE26" s="30"/>
    </row>
    <row r="27">
      <c r="A27" s="42"/>
      <c r="B27" s="43"/>
      <c r="C27" s="44"/>
      <c r="D27" s="113"/>
      <c r="E27" s="13"/>
      <c r="F27" s="13"/>
      <c r="G27" s="13"/>
      <c r="H27" s="13"/>
      <c r="I27" s="13"/>
      <c r="J27" s="17"/>
      <c r="K27" s="15"/>
      <c r="L27" s="18"/>
      <c r="M27" s="48"/>
      <c r="N27" s="19"/>
      <c r="O27" s="52"/>
      <c r="P27" s="27"/>
      <c r="Q27" s="28"/>
      <c r="R27" s="53"/>
      <c r="S27" s="80"/>
      <c r="T27" s="54"/>
      <c r="U27" s="54"/>
      <c r="V27" s="54"/>
      <c r="W27" s="54"/>
      <c r="X27" s="54"/>
      <c r="Y27" s="54"/>
      <c r="Z27" s="54"/>
      <c r="AA27" s="54"/>
      <c r="AB27" s="54"/>
      <c r="AC27" s="54"/>
      <c r="AD27" s="54"/>
      <c r="AE27" s="54"/>
    </row>
    <row r="28">
      <c r="A28" s="42"/>
      <c r="B28" s="43"/>
      <c r="C28" s="44"/>
      <c r="D28" s="112"/>
      <c r="E28" s="13"/>
      <c r="F28" s="13"/>
      <c r="G28" s="13"/>
      <c r="H28" s="13"/>
      <c r="I28" s="13"/>
      <c r="J28" s="18"/>
      <c r="K28" s="15"/>
      <c r="L28" s="18"/>
      <c r="M28" s="18"/>
      <c r="N28" s="19"/>
      <c r="O28" s="19"/>
      <c r="P28" s="21"/>
      <c r="Q28" s="26"/>
      <c r="R28" s="23"/>
      <c r="S28" s="80"/>
      <c r="T28" s="24"/>
      <c r="U28" s="24"/>
      <c r="V28" s="24"/>
      <c r="W28" s="24"/>
      <c r="X28" s="24"/>
      <c r="Y28" s="24"/>
      <c r="Z28" s="24"/>
      <c r="AA28" s="24"/>
      <c r="AB28" s="24"/>
      <c r="AC28" s="24"/>
      <c r="AD28" s="24"/>
      <c r="AE28" s="24"/>
    </row>
    <row r="29">
      <c r="A29" s="42"/>
      <c r="B29" s="43"/>
      <c r="C29" s="44"/>
      <c r="D29" s="113"/>
      <c r="E29" s="13"/>
      <c r="F29" s="13"/>
      <c r="G29" s="13"/>
      <c r="H29" s="13"/>
      <c r="I29" s="13"/>
      <c r="J29" s="17"/>
      <c r="K29" s="15"/>
      <c r="L29" s="18"/>
      <c r="M29" s="18"/>
      <c r="N29" s="19"/>
      <c r="O29" s="19"/>
      <c r="P29" s="27"/>
      <c r="Q29" s="28"/>
      <c r="R29" s="53"/>
      <c r="S29" s="80"/>
      <c r="T29" s="54"/>
      <c r="U29" s="54"/>
      <c r="V29" s="54"/>
      <c r="W29" s="54"/>
      <c r="X29" s="54"/>
      <c r="Y29" s="54"/>
      <c r="Z29" s="54"/>
      <c r="AA29" s="54"/>
      <c r="AB29" s="54"/>
      <c r="AC29" s="54"/>
      <c r="AD29" s="54"/>
      <c r="AE29" s="54"/>
    </row>
    <row r="30">
      <c r="A30" s="42"/>
      <c r="B30" s="43"/>
      <c r="C30" s="44"/>
      <c r="D30" s="113"/>
      <c r="E30" s="13"/>
      <c r="F30" s="13"/>
      <c r="G30" s="13"/>
      <c r="H30" s="13"/>
      <c r="I30" s="13"/>
      <c r="J30" s="17"/>
      <c r="K30" s="15"/>
      <c r="L30" s="18"/>
      <c r="M30" s="48"/>
      <c r="N30" s="19"/>
      <c r="O30" s="52"/>
      <c r="P30" s="47"/>
      <c r="Q30" s="22"/>
      <c r="R30" s="40"/>
      <c r="S30" s="80"/>
      <c r="T30" s="71"/>
      <c r="U30" s="71"/>
      <c r="V30" s="71"/>
      <c r="W30" s="71"/>
      <c r="X30" s="71"/>
      <c r="Y30" s="71"/>
      <c r="Z30" s="71"/>
      <c r="AA30" s="71"/>
      <c r="AB30" s="71"/>
      <c r="AC30" s="71"/>
      <c r="AD30" s="71"/>
      <c r="AE30" s="71"/>
    </row>
    <row r="31">
      <c r="A31" s="42"/>
      <c r="B31" s="43"/>
      <c r="C31" s="44"/>
      <c r="D31" s="112"/>
      <c r="E31" s="13"/>
      <c r="F31" s="13"/>
      <c r="G31" s="13"/>
      <c r="H31" s="13"/>
      <c r="I31" s="13"/>
      <c r="J31" s="17"/>
      <c r="K31" s="15"/>
      <c r="L31" s="18"/>
      <c r="M31" s="18"/>
      <c r="N31" s="19"/>
      <c r="O31" s="49"/>
      <c r="P31" s="27"/>
      <c r="Q31" s="70"/>
      <c r="R31" s="63"/>
      <c r="S31" s="80"/>
      <c r="T31" s="64"/>
      <c r="U31" s="64"/>
      <c r="V31" s="64"/>
      <c r="W31" s="64"/>
      <c r="X31" s="64"/>
      <c r="Y31" s="64"/>
      <c r="Z31" s="64"/>
      <c r="AA31" s="64"/>
      <c r="AB31" s="64"/>
      <c r="AC31" s="64"/>
      <c r="AD31" s="64"/>
      <c r="AE31" s="64"/>
    </row>
    <row r="32">
      <c r="A32" s="42"/>
      <c r="B32" s="43"/>
      <c r="C32" s="44"/>
      <c r="D32" s="112"/>
      <c r="E32" s="13"/>
      <c r="F32" s="13"/>
      <c r="G32" s="13"/>
      <c r="H32" s="13"/>
      <c r="I32" s="13"/>
      <c r="J32" s="17"/>
      <c r="K32" s="15"/>
      <c r="L32" s="18"/>
      <c r="M32" s="48"/>
      <c r="N32" s="19"/>
      <c r="O32" s="49"/>
      <c r="P32" s="27"/>
      <c r="Q32" s="28"/>
      <c r="R32" s="50"/>
      <c r="S32" s="80"/>
      <c r="T32" s="51"/>
      <c r="U32" s="51"/>
      <c r="V32" s="51"/>
      <c r="W32" s="51"/>
      <c r="X32" s="51"/>
      <c r="Y32" s="51"/>
      <c r="Z32" s="51"/>
      <c r="AA32" s="51"/>
      <c r="AB32" s="51"/>
      <c r="AC32" s="51"/>
      <c r="AD32" s="51"/>
      <c r="AE32" s="51"/>
    </row>
    <row r="33">
      <c r="A33" s="42"/>
      <c r="B33" s="43"/>
      <c r="C33" s="44"/>
      <c r="D33" s="112"/>
      <c r="E33" s="13"/>
      <c r="F33" s="13"/>
      <c r="G33" s="13"/>
      <c r="H33" s="13"/>
      <c r="I33" s="13"/>
      <c r="J33" s="17"/>
      <c r="K33" s="15"/>
      <c r="L33" s="46"/>
      <c r="M33" s="88"/>
      <c r="N33" s="19"/>
      <c r="O33" s="52"/>
      <c r="P33" s="47"/>
      <c r="Q33" s="22"/>
      <c r="R33" s="23"/>
      <c r="S33" s="80"/>
      <c r="T33" s="32"/>
      <c r="U33" s="32"/>
      <c r="V33" s="32"/>
      <c r="W33" s="32"/>
      <c r="X33" s="32"/>
      <c r="Y33" s="32"/>
      <c r="Z33" s="32"/>
      <c r="AA33" s="32"/>
      <c r="AB33" s="32"/>
      <c r="AC33" s="32"/>
      <c r="AD33" s="32"/>
      <c r="AE33" s="32"/>
    </row>
    <row r="34">
      <c r="A34" s="42"/>
      <c r="B34" s="43"/>
      <c r="C34" s="44"/>
      <c r="D34" s="112"/>
      <c r="E34" s="13"/>
      <c r="F34" s="13"/>
      <c r="G34" s="13"/>
      <c r="H34" s="13"/>
      <c r="I34" s="13"/>
      <c r="J34" s="17"/>
      <c r="K34" s="15"/>
      <c r="L34" s="18"/>
      <c r="M34" s="48"/>
      <c r="N34" s="19"/>
      <c r="O34" s="52"/>
      <c r="P34" s="47"/>
      <c r="Q34" s="22"/>
      <c r="R34" s="23"/>
      <c r="S34" s="80"/>
      <c r="T34" s="24"/>
      <c r="U34" s="24"/>
      <c r="V34" s="24"/>
      <c r="W34" s="24"/>
      <c r="X34" s="24"/>
      <c r="Y34" s="24"/>
      <c r="Z34" s="24"/>
      <c r="AA34" s="24"/>
      <c r="AB34" s="24"/>
      <c r="AC34" s="24"/>
      <c r="AD34" s="24"/>
      <c r="AE34" s="24"/>
    </row>
    <row r="35">
      <c r="A35" s="42"/>
      <c r="B35" s="43"/>
      <c r="C35" s="44"/>
      <c r="D35" s="112"/>
      <c r="E35" s="13"/>
      <c r="F35" s="13"/>
      <c r="G35" s="13"/>
      <c r="H35" s="13"/>
      <c r="I35" s="13"/>
      <c r="J35" s="17"/>
      <c r="K35" s="15"/>
      <c r="L35" s="18"/>
      <c r="M35" s="48"/>
      <c r="N35" s="19"/>
      <c r="O35" s="19"/>
      <c r="P35" s="27"/>
      <c r="Q35" s="28"/>
      <c r="R35" s="63"/>
      <c r="S35" s="80"/>
      <c r="T35" s="64"/>
      <c r="U35" s="64"/>
      <c r="V35" s="64"/>
      <c r="W35" s="64"/>
      <c r="X35" s="64"/>
      <c r="Y35" s="64"/>
      <c r="Z35" s="64"/>
      <c r="AA35" s="64"/>
      <c r="AB35" s="64"/>
      <c r="AC35" s="64"/>
      <c r="AD35" s="64"/>
      <c r="AE35" s="64"/>
    </row>
    <row r="36">
      <c r="A36" s="42"/>
      <c r="B36" s="43"/>
      <c r="C36" s="44"/>
      <c r="D36" s="112"/>
      <c r="E36" s="13"/>
      <c r="F36" s="13"/>
      <c r="G36" s="13"/>
      <c r="H36" s="13"/>
      <c r="I36" s="13"/>
      <c r="J36" s="17"/>
      <c r="K36" s="15"/>
      <c r="L36" s="18"/>
      <c r="M36" s="18"/>
      <c r="N36" s="19"/>
      <c r="O36" s="19"/>
      <c r="P36" s="27"/>
      <c r="Q36" s="28"/>
      <c r="R36" s="23"/>
      <c r="S36" s="80"/>
      <c r="T36" s="24"/>
      <c r="U36" s="24"/>
      <c r="V36" s="24"/>
      <c r="W36" s="24"/>
      <c r="X36" s="24"/>
      <c r="Y36" s="24"/>
      <c r="Z36" s="24"/>
      <c r="AA36" s="24"/>
      <c r="AB36" s="24"/>
      <c r="AC36" s="24"/>
      <c r="AD36" s="24"/>
      <c r="AE36" s="24"/>
    </row>
    <row r="37">
      <c r="A37" s="42"/>
      <c r="B37" s="43"/>
      <c r="C37" s="44"/>
      <c r="D37" s="112"/>
      <c r="E37" s="13"/>
      <c r="F37" s="13"/>
      <c r="G37" s="13"/>
      <c r="H37" s="13"/>
      <c r="I37" s="13"/>
      <c r="J37" s="18"/>
      <c r="K37" s="15"/>
      <c r="L37" s="18"/>
      <c r="M37" s="18"/>
      <c r="N37" s="19"/>
      <c r="O37" s="49"/>
      <c r="P37" s="27"/>
      <c r="Q37" s="62"/>
      <c r="R37" s="63"/>
      <c r="S37" s="80"/>
      <c r="T37" s="32"/>
      <c r="U37" s="32"/>
      <c r="V37" s="32"/>
      <c r="W37" s="32"/>
      <c r="X37" s="32"/>
      <c r="Y37" s="32"/>
      <c r="Z37" s="32"/>
      <c r="AA37" s="32"/>
      <c r="AB37" s="32"/>
      <c r="AC37" s="32"/>
      <c r="AD37" s="32"/>
      <c r="AE37" s="32"/>
    </row>
  </sheetData>
  <conditionalFormatting sqref="A1:A37">
    <cfRule type="cellIs" dxfId="0" priority="1" operator="equal">
      <formula>TRUE</formula>
    </cfRule>
  </conditionalFormatting>
  <conditionalFormatting sqref="A1:I37 K1:AE37 J18:J35">
    <cfRule type="expression" dxfId="1" priority="2">
      <formula>$B1=TRUE</formula>
    </cfRule>
  </conditionalFormatting>
  <conditionalFormatting sqref="K1:K37">
    <cfRule type="cellIs" dxfId="2" priority="3" operator="equal">
      <formula>"Starter"</formula>
    </cfRule>
  </conditionalFormatting>
  <conditionalFormatting sqref="K1:K37">
    <cfRule type="cellIs" dxfId="3" priority="4" operator="equal">
      <formula>"Uncommon"</formula>
    </cfRule>
  </conditionalFormatting>
  <conditionalFormatting sqref="F1:F37">
    <cfRule type="colorScale" priority="5">
      <colorScale>
        <cfvo type="formula" val="1"/>
        <cfvo type="formula" val="2"/>
        <cfvo type="formula" val="3"/>
        <color rgb="FFFFFFFF"/>
        <color rgb="FFCCCCCC"/>
        <color rgb="FF666666"/>
      </colorScale>
    </cfRule>
  </conditionalFormatting>
  <conditionalFormatting sqref="C1:J37">
    <cfRule type="expression" dxfId="4" priority="6">
      <formula>$C1="M"</formula>
    </cfRule>
  </conditionalFormatting>
  <conditionalFormatting sqref="C1:J37">
    <cfRule type="expression" dxfId="5" priority="7">
      <formula>$C1="I"</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26.0"/>
    <col customWidth="1" min="3" max="3" width="6.5"/>
    <col customWidth="1" min="4" max="4" width="16.75"/>
    <col customWidth="1" min="5" max="5" width="28.75"/>
    <col customWidth="1" min="6" max="6" width="6.88"/>
    <col customWidth="1" min="7" max="8" width="9.63"/>
    <col customWidth="1" min="9" max="9" width="28.75"/>
    <col customWidth="1" min="10" max="10" width="7.25"/>
    <col customWidth="1" min="11" max="11" width="16.75"/>
    <col customWidth="1" min="12" max="12" width="28.75"/>
    <col customWidth="1" min="13" max="13" width="7.38"/>
    <col customWidth="1" min="14" max="14" width="16.75"/>
    <col customWidth="1" min="15" max="15" width="28.75"/>
    <col customWidth="1" min="16" max="16" width="7.38"/>
    <col customWidth="1" min="17" max="17" width="16.75"/>
    <col customWidth="1" min="18" max="18" width="28.75"/>
  </cols>
  <sheetData>
    <row r="1">
      <c r="A1" s="114" t="s">
        <v>229</v>
      </c>
      <c r="B1" s="115" t="s">
        <v>16</v>
      </c>
      <c r="C1" s="116"/>
      <c r="D1" s="117" t="s">
        <v>230</v>
      </c>
      <c r="E1" s="118" t="s">
        <v>16</v>
      </c>
      <c r="F1" s="119" t="s">
        <v>231</v>
      </c>
      <c r="G1" s="120" t="s">
        <v>232</v>
      </c>
      <c r="I1" s="118" t="s">
        <v>16</v>
      </c>
      <c r="J1" s="116"/>
      <c r="K1" s="121" t="s">
        <v>233</v>
      </c>
      <c r="L1" s="118" t="s">
        <v>16</v>
      </c>
      <c r="M1" s="116"/>
      <c r="N1" s="122" t="s">
        <v>234</v>
      </c>
      <c r="O1" s="118" t="s">
        <v>16</v>
      </c>
      <c r="P1" s="116"/>
      <c r="Q1" s="123" t="s">
        <v>235</v>
      </c>
      <c r="R1" s="118" t="s">
        <v>16</v>
      </c>
    </row>
    <row r="2">
      <c r="A2" s="124" t="s">
        <v>236</v>
      </c>
      <c r="B2" s="125" t="s">
        <v>237</v>
      </c>
      <c r="D2" s="117" t="s">
        <v>238</v>
      </c>
      <c r="E2" s="126" t="s">
        <v>239</v>
      </c>
      <c r="F2" s="127"/>
      <c r="G2" s="120" t="s">
        <v>238</v>
      </c>
      <c r="I2" s="126" t="s">
        <v>239</v>
      </c>
      <c r="K2" s="121" t="s">
        <v>240</v>
      </c>
      <c r="L2" s="126" t="s">
        <v>241</v>
      </c>
      <c r="N2" s="122" t="s">
        <v>240</v>
      </c>
      <c r="O2" s="126" t="s">
        <v>242</v>
      </c>
      <c r="Q2" s="123" t="s">
        <v>243</v>
      </c>
      <c r="R2" s="126" t="s">
        <v>244</v>
      </c>
    </row>
    <row r="3">
      <c r="A3" s="128" t="s">
        <v>230</v>
      </c>
      <c r="B3" s="125" t="s">
        <v>245</v>
      </c>
      <c r="D3" s="117" t="s">
        <v>246</v>
      </c>
      <c r="E3" s="126" t="s">
        <v>247</v>
      </c>
      <c r="F3" s="127"/>
      <c r="G3" s="120" t="s">
        <v>248</v>
      </c>
      <c r="I3" s="126" t="s">
        <v>249</v>
      </c>
      <c r="K3" s="121" t="s">
        <v>250</v>
      </c>
      <c r="L3" s="126" t="s">
        <v>251</v>
      </c>
      <c r="N3" s="122" t="s">
        <v>250</v>
      </c>
      <c r="O3" s="126" t="s">
        <v>252</v>
      </c>
      <c r="Q3" s="129" t="s">
        <v>253</v>
      </c>
      <c r="R3" s="126" t="s">
        <v>254</v>
      </c>
    </row>
    <row r="4">
      <c r="A4" s="130" t="s">
        <v>232</v>
      </c>
      <c r="B4" s="125" t="s">
        <v>255</v>
      </c>
      <c r="D4" s="117" t="s">
        <v>256</v>
      </c>
      <c r="E4" s="131" t="s">
        <v>257</v>
      </c>
      <c r="F4" s="132" t="s">
        <v>258</v>
      </c>
      <c r="G4" s="120" t="s">
        <v>259</v>
      </c>
      <c r="I4" s="126" t="s">
        <v>260</v>
      </c>
      <c r="K4" s="121" t="s">
        <v>261</v>
      </c>
      <c r="L4" s="126" t="s">
        <v>262</v>
      </c>
      <c r="N4" s="122" t="s">
        <v>263</v>
      </c>
      <c r="O4" s="126" t="s">
        <v>264</v>
      </c>
      <c r="Q4" s="123" t="s">
        <v>265</v>
      </c>
      <c r="R4" s="126" t="s">
        <v>266</v>
      </c>
    </row>
    <row r="5">
      <c r="A5" s="133" t="s">
        <v>235</v>
      </c>
      <c r="B5" s="125" t="s">
        <v>267</v>
      </c>
      <c r="D5" s="117" t="s">
        <v>268</v>
      </c>
      <c r="E5" s="126" t="s">
        <v>269</v>
      </c>
      <c r="F5" s="127"/>
      <c r="G5" s="120" t="s">
        <v>270</v>
      </c>
      <c r="I5" s="126" t="s">
        <v>271</v>
      </c>
      <c r="J5" s="134" t="s">
        <v>272</v>
      </c>
      <c r="K5" s="135" t="s">
        <v>273</v>
      </c>
      <c r="L5" s="126" t="s">
        <v>274</v>
      </c>
      <c r="N5" s="136" t="s">
        <v>273</v>
      </c>
      <c r="O5" s="126" t="s">
        <v>274</v>
      </c>
      <c r="Q5" s="123" t="s">
        <v>275</v>
      </c>
      <c r="R5" s="126" t="s">
        <v>276</v>
      </c>
    </row>
    <row r="6">
      <c r="A6" s="124" t="s">
        <v>277</v>
      </c>
      <c r="B6" s="125" t="s">
        <v>278</v>
      </c>
      <c r="D6" s="137" t="s">
        <v>279</v>
      </c>
      <c r="E6" s="126" t="s">
        <v>280</v>
      </c>
      <c r="F6" s="127"/>
      <c r="G6" s="121" t="s">
        <v>233</v>
      </c>
      <c r="H6" s="122" t="s">
        <v>234</v>
      </c>
      <c r="I6" s="126" t="s">
        <v>281</v>
      </c>
      <c r="K6" s="135" t="s">
        <v>282</v>
      </c>
      <c r="L6" s="126" t="s">
        <v>283</v>
      </c>
      <c r="N6" s="122" t="s">
        <v>284</v>
      </c>
      <c r="O6" s="126" t="s">
        <v>285</v>
      </c>
      <c r="Q6" s="129" t="s">
        <v>286</v>
      </c>
      <c r="R6" s="126" t="s">
        <v>287</v>
      </c>
    </row>
    <row r="7">
      <c r="A7" s="108"/>
      <c r="B7" s="138"/>
      <c r="D7" s="139" t="s">
        <v>288</v>
      </c>
      <c r="E7" s="140" t="s">
        <v>289</v>
      </c>
      <c r="F7" s="127"/>
      <c r="G7" s="141" t="s">
        <v>290</v>
      </c>
      <c r="I7" s="126" t="s">
        <v>291</v>
      </c>
      <c r="K7" s="121" t="s">
        <v>265</v>
      </c>
      <c r="L7" s="126" t="s">
        <v>292</v>
      </c>
      <c r="N7" s="136" t="s">
        <v>282</v>
      </c>
      <c r="O7" s="126" t="s">
        <v>293</v>
      </c>
      <c r="Q7" s="129" t="s">
        <v>294</v>
      </c>
      <c r="R7" s="126" t="s">
        <v>295</v>
      </c>
    </row>
    <row r="8">
      <c r="A8" s="108"/>
      <c r="B8" s="138"/>
      <c r="D8" s="117" t="s">
        <v>265</v>
      </c>
      <c r="E8" s="126" t="s">
        <v>292</v>
      </c>
      <c r="F8" s="127"/>
      <c r="G8" s="120" t="s">
        <v>296</v>
      </c>
      <c r="I8" s="126" t="s">
        <v>297</v>
      </c>
      <c r="N8" s="122" t="s">
        <v>265</v>
      </c>
      <c r="O8" s="126" t="s">
        <v>292</v>
      </c>
      <c r="Q8" s="129" t="s">
        <v>298</v>
      </c>
      <c r="R8" s="126" t="s">
        <v>299</v>
      </c>
    </row>
    <row r="9">
      <c r="A9" s="108"/>
      <c r="B9" s="138"/>
      <c r="D9" s="142"/>
      <c r="E9" s="143"/>
      <c r="F9" s="127"/>
      <c r="G9" s="142"/>
      <c r="H9" s="142"/>
      <c r="I9" s="143"/>
      <c r="K9" s="142"/>
      <c r="L9" s="143"/>
      <c r="N9" s="142"/>
      <c r="O9" s="143"/>
      <c r="Q9" s="142"/>
      <c r="R9" s="143"/>
    </row>
    <row r="10">
      <c r="A10" s="108"/>
      <c r="B10" s="138"/>
      <c r="D10" s="142"/>
      <c r="E10" s="143"/>
      <c r="F10" s="127"/>
      <c r="G10" s="142"/>
      <c r="H10" s="142"/>
      <c r="I10" s="143"/>
      <c r="K10" s="142"/>
      <c r="L10" s="143"/>
      <c r="N10" s="142"/>
      <c r="O10" s="143"/>
      <c r="Q10" s="142"/>
      <c r="R10" s="143"/>
    </row>
    <row r="11">
      <c r="A11" s="108"/>
      <c r="B11" s="138"/>
      <c r="D11" s="142"/>
      <c r="E11" s="143"/>
      <c r="F11" s="127"/>
      <c r="G11" s="142"/>
      <c r="H11" s="142"/>
      <c r="I11" s="143"/>
      <c r="K11" s="142"/>
      <c r="L11" s="143"/>
      <c r="N11" s="142"/>
      <c r="O11" s="143"/>
      <c r="Q11" s="142"/>
      <c r="R11" s="143"/>
    </row>
    <row r="12">
      <c r="A12" s="108"/>
      <c r="B12" s="138"/>
      <c r="D12" s="142"/>
      <c r="E12" s="143"/>
      <c r="F12" s="127"/>
      <c r="G12" s="142"/>
      <c r="H12" s="142"/>
      <c r="I12" s="143"/>
      <c r="K12" s="142"/>
      <c r="L12" s="143"/>
      <c r="N12" s="142"/>
      <c r="O12" s="143"/>
      <c r="Q12" s="142"/>
      <c r="R12" s="143"/>
    </row>
  </sheetData>
  <mergeCells count="7">
    <mergeCell ref="G1:H1"/>
    <mergeCell ref="G2:H2"/>
    <mergeCell ref="G3:H3"/>
    <mergeCell ref="G4:H4"/>
    <mergeCell ref="G5:H5"/>
    <mergeCell ref="G7:H7"/>
    <mergeCell ref="G8:H8"/>
  </mergeCells>
  <hyperlinks>
    <hyperlink display="[Resolve Spin Variables]" location="'Function Flow'!A26:E37" ref="Q3"/>
    <hyperlink display="[Resolve Draft Variables]" location="'Function Flow'!A12:D17" ref="K5"/>
    <hyperlink display="[Resolve Draft Variables]" location="'Function Flow'!A12:D17" ref="N5"/>
    <hyperlink display="[Neighbors Check]" location="'Function Flow'!A19:E22" ref="K6"/>
    <hyperlink display="[Use Item]" location="'Function Flow'!A40:F49" ref="Q6"/>
    <hyperlink display="[Resolve Starter Variables]" location="'Function Flow'!A1:D10" ref="D7"/>
    <hyperlink display="[Neighbors Check]" location="'Function Flow'!A19:E22" ref="N7"/>
    <hyperlink display="[Resolve Combat]" location="'Function Flow'!A51:F60" ref="Q7"/>
    <hyperlink display="[Remove Slices]" location="'Function Flow'!A62:F66" ref="Q8"/>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22.13"/>
    <col customWidth="1" min="3" max="3" width="19.63"/>
    <col customWidth="1" min="4" max="4" width="27.88"/>
    <col customWidth="1" min="6" max="6" width="16.63"/>
  </cols>
  <sheetData>
    <row r="1">
      <c r="A1" s="144" t="s">
        <v>230</v>
      </c>
      <c r="B1" s="145" t="s">
        <v>288</v>
      </c>
      <c r="C1" s="146" t="s">
        <v>16</v>
      </c>
      <c r="D1" s="146" t="s">
        <v>300</v>
      </c>
      <c r="E1" s="116"/>
      <c r="F1" s="116"/>
      <c r="G1" s="116"/>
      <c r="H1" s="116"/>
    </row>
    <row r="2">
      <c r="A2" s="147">
        <v>1.0</v>
      </c>
      <c r="B2" s="148" t="s">
        <v>48</v>
      </c>
      <c r="C2" s="149" t="s">
        <v>301</v>
      </c>
      <c r="D2" s="150" t="s">
        <v>302</v>
      </c>
      <c r="E2" s="151"/>
      <c r="F2" s="151"/>
      <c r="G2" s="151"/>
      <c r="H2" s="151"/>
    </row>
    <row r="3">
      <c r="B3" s="152"/>
      <c r="C3" s="152"/>
      <c r="D3" s="153" t="s">
        <v>56</v>
      </c>
      <c r="E3" s="151"/>
      <c r="F3" s="151"/>
      <c r="G3" s="151"/>
      <c r="H3" s="151"/>
    </row>
    <row r="4" ht="15.75" customHeight="1">
      <c r="A4" s="147">
        <v>2.0</v>
      </c>
      <c r="B4" s="148" t="s">
        <v>59</v>
      </c>
      <c r="C4" s="154" t="s">
        <v>303</v>
      </c>
      <c r="D4" s="155" t="s">
        <v>155</v>
      </c>
    </row>
    <row r="5" ht="15.75" customHeight="1">
      <c r="B5" s="152"/>
      <c r="C5" s="152"/>
      <c r="D5" s="156" t="s">
        <v>57</v>
      </c>
    </row>
    <row r="6" ht="15.75" customHeight="1">
      <c r="A6" s="147">
        <v>3.0</v>
      </c>
      <c r="B6" s="148" t="s">
        <v>304</v>
      </c>
      <c r="C6" s="154" t="s">
        <v>305</v>
      </c>
      <c r="D6" s="155" t="s">
        <v>147</v>
      </c>
    </row>
    <row r="7" ht="15.75" customHeight="1">
      <c r="B7" s="157"/>
      <c r="C7" s="157"/>
      <c r="D7" s="156" t="s">
        <v>85</v>
      </c>
    </row>
    <row r="8" ht="15.75" customHeight="1">
      <c r="B8" s="152"/>
      <c r="C8" s="152"/>
      <c r="D8" s="156" t="s">
        <v>49</v>
      </c>
    </row>
    <row r="9" ht="15.75" customHeight="1">
      <c r="A9" s="147">
        <v>4.0</v>
      </c>
      <c r="B9" s="124" t="s">
        <v>32</v>
      </c>
      <c r="C9" s="158" t="s">
        <v>306</v>
      </c>
      <c r="D9" s="156" t="s">
        <v>27</v>
      </c>
    </row>
    <row r="10">
      <c r="A10" s="147">
        <v>5.0</v>
      </c>
      <c r="B10" s="124" t="s">
        <v>134</v>
      </c>
      <c r="C10" s="158" t="s">
        <v>307</v>
      </c>
      <c r="D10" s="159" t="s">
        <v>132</v>
      </c>
    </row>
    <row r="11">
      <c r="A11" s="108"/>
      <c r="B11" s="108"/>
      <c r="C11" s="138"/>
      <c r="D11" s="138"/>
    </row>
    <row r="12">
      <c r="A12" s="160" t="s">
        <v>308</v>
      </c>
      <c r="B12" s="161" t="s">
        <v>273</v>
      </c>
      <c r="C12" s="162" t="s">
        <v>16</v>
      </c>
      <c r="D12" s="162" t="s">
        <v>300</v>
      </c>
    </row>
    <row r="13">
      <c r="A13" s="147">
        <v>1.0</v>
      </c>
      <c r="B13" s="148" t="s">
        <v>59</v>
      </c>
      <c r="C13" s="154" t="s">
        <v>309</v>
      </c>
      <c r="D13" s="155" t="s">
        <v>155</v>
      </c>
    </row>
    <row r="14">
      <c r="B14" s="152"/>
      <c r="C14" s="152"/>
      <c r="D14" s="156" t="s">
        <v>57</v>
      </c>
    </row>
    <row r="15">
      <c r="A15" s="147">
        <v>2.0</v>
      </c>
      <c r="B15" s="148" t="s">
        <v>304</v>
      </c>
      <c r="C15" s="154" t="s">
        <v>309</v>
      </c>
      <c r="D15" s="155" t="s">
        <v>147</v>
      </c>
    </row>
    <row r="16">
      <c r="B16" s="157"/>
      <c r="C16" s="157"/>
      <c r="D16" s="156" t="s">
        <v>85</v>
      </c>
    </row>
    <row r="17">
      <c r="B17" s="152"/>
      <c r="C17" s="152"/>
      <c r="D17" s="156" t="s">
        <v>49</v>
      </c>
    </row>
    <row r="18">
      <c r="A18" s="108"/>
      <c r="B18" s="108"/>
      <c r="C18" s="138"/>
      <c r="D18" s="138"/>
    </row>
    <row r="19">
      <c r="A19" s="160" t="s">
        <v>308</v>
      </c>
      <c r="B19" s="161" t="s">
        <v>282</v>
      </c>
      <c r="C19" s="162"/>
      <c r="D19" s="162"/>
    </row>
    <row r="20">
      <c r="A20" s="163"/>
      <c r="B20" s="164" t="s">
        <v>310</v>
      </c>
      <c r="C20" s="164" t="s">
        <v>311</v>
      </c>
      <c r="D20" s="164" t="s">
        <v>312</v>
      </c>
      <c r="E20" s="107"/>
      <c r="F20" s="107"/>
      <c r="G20" s="107"/>
      <c r="H20" s="107"/>
    </row>
    <row r="21">
      <c r="A21" s="147">
        <v>1.0</v>
      </c>
      <c r="B21" s="165" t="s">
        <v>39</v>
      </c>
      <c r="C21" s="166" t="s">
        <v>313</v>
      </c>
      <c r="D21" s="167" t="s">
        <v>314</v>
      </c>
      <c r="E21" s="168" t="s">
        <v>315</v>
      </c>
    </row>
    <row r="22">
      <c r="A22" s="147">
        <v>2.0</v>
      </c>
      <c r="B22" s="165" t="s">
        <v>95</v>
      </c>
      <c r="C22" s="166" t="s">
        <v>316</v>
      </c>
      <c r="D22" s="167" t="s">
        <v>317</v>
      </c>
    </row>
    <row r="23">
      <c r="A23" s="147">
        <v>3.0</v>
      </c>
      <c r="B23" s="165" t="s">
        <v>90</v>
      </c>
      <c r="C23" s="165" t="s">
        <v>318</v>
      </c>
      <c r="D23" s="158" t="s">
        <v>319</v>
      </c>
      <c r="E23" s="131" t="s">
        <v>315</v>
      </c>
    </row>
    <row r="24">
      <c r="A24" s="147">
        <v>4.0</v>
      </c>
      <c r="B24" s="165" t="s">
        <v>64</v>
      </c>
      <c r="C24" s="165" t="s">
        <v>320</v>
      </c>
      <c r="D24" s="158" t="s">
        <v>66</v>
      </c>
      <c r="E24" s="131" t="s">
        <v>315</v>
      </c>
    </row>
    <row r="25">
      <c r="A25" s="108"/>
      <c r="B25" s="108"/>
      <c r="C25" s="138"/>
      <c r="D25" s="138"/>
    </row>
    <row r="26">
      <c r="A26" s="123" t="s">
        <v>235</v>
      </c>
      <c r="B26" s="123" t="s">
        <v>253</v>
      </c>
      <c r="C26" s="169" t="s">
        <v>16</v>
      </c>
      <c r="D26" s="169" t="s">
        <v>300</v>
      </c>
      <c r="E26" s="169" t="s">
        <v>321</v>
      </c>
    </row>
    <row r="27">
      <c r="A27" s="147">
        <v>1.0</v>
      </c>
      <c r="B27" s="164" t="s">
        <v>322</v>
      </c>
      <c r="C27" s="164" t="s">
        <v>323</v>
      </c>
      <c r="D27" s="164" t="s">
        <v>324</v>
      </c>
    </row>
    <row r="28">
      <c r="A28" s="147">
        <v>2.0</v>
      </c>
      <c r="B28" s="148" t="s">
        <v>206</v>
      </c>
      <c r="C28" s="149" t="s">
        <v>325</v>
      </c>
      <c r="D28" s="150" t="s">
        <v>138</v>
      </c>
    </row>
    <row r="29">
      <c r="B29" s="152"/>
      <c r="C29" s="152"/>
      <c r="D29" s="150" t="s">
        <v>114</v>
      </c>
    </row>
    <row r="30">
      <c r="A30" s="147">
        <v>3.0</v>
      </c>
      <c r="B30" s="170" t="s">
        <v>80</v>
      </c>
      <c r="C30" s="158" t="s">
        <v>326</v>
      </c>
      <c r="D30" s="171" t="s">
        <v>78</v>
      </c>
      <c r="E30" s="151"/>
      <c r="F30" s="151"/>
      <c r="G30" s="151"/>
      <c r="H30" s="151"/>
    </row>
    <row r="31">
      <c r="A31" s="147">
        <v>4.0</v>
      </c>
      <c r="B31" s="170" t="s">
        <v>112</v>
      </c>
      <c r="C31" s="158" t="s">
        <v>327</v>
      </c>
      <c r="D31" s="150" t="s">
        <v>110</v>
      </c>
    </row>
    <row r="32">
      <c r="A32" s="147">
        <v>5.0</v>
      </c>
      <c r="B32" s="170" t="s">
        <v>196</v>
      </c>
      <c r="C32" s="158" t="s">
        <v>327</v>
      </c>
      <c r="D32" s="150" t="s">
        <v>194</v>
      </c>
    </row>
    <row r="33">
      <c r="A33" s="147">
        <v>6.0</v>
      </c>
      <c r="B33" s="170" t="s">
        <v>127</v>
      </c>
      <c r="C33" s="158" t="s">
        <v>328</v>
      </c>
      <c r="D33" s="150" t="s">
        <v>125</v>
      </c>
    </row>
    <row r="34">
      <c r="A34" s="147">
        <v>7.0</v>
      </c>
      <c r="B34" s="170" t="s">
        <v>329</v>
      </c>
      <c r="C34" s="158" t="s">
        <v>330</v>
      </c>
      <c r="D34" s="150" t="s">
        <v>331</v>
      </c>
      <c r="E34" s="172" t="s">
        <v>315</v>
      </c>
    </row>
    <row r="35">
      <c r="A35" s="147">
        <v>8.0</v>
      </c>
      <c r="B35" s="124" t="s">
        <v>332</v>
      </c>
      <c r="C35" s="158" t="s">
        <v>333</v>
      </c>
      <c r="D35" s="159" t="s">
        <v>199</v>
      </c>
    </row>
    <row r="36">
      <c r="A36" s="147">
        <v>9.0</v>
      </c>
      <c r="B36" s="170" t="s">
        <v>334</v>
      </c>
      <c r="C36" s="158" t="s">
        <v>335</v>
      </c>
      <c r="D36" s="125" t="s">
        <v>336</v>
      </c>
    </row>
    <row r="37">
      <c r="A37" s="147">
        <v>10.0</v>
      </c>
      <c r="B37" s="170" t="s">
        <v>134</v>
      </c>
      <c r="C37" s="125" t="s">
        <v>337</v>
      </c>
      <c r="D37" s="159" t="s">
        <v>338</v>
      </c>
      <c r="E37" s="172" t="s">
        <v>315</v>
      </c>
    </row>
    <row r="38">
      <c r="A38" s="108"/>
      <c r="B38" s="108"/>
      <c r="C38" s="108"/>
      <c r="D38" s="108"/>
    </row>
    <row r="39">
      <c r="A39" s="108"/>
      <c r="B39" s="108"/>
      <c r="C39" s="108"/>
      <c r="D39" s="108"/>
    </row>
    <row r="40">
      <c r="A40" s="123" t="s">
        <v>235</v>
      </c>
      <c r="B40" s="123" t="s">
        <v>286</v>
      </c>
      <c r="C40" s="138"/>
      <c r="D40" s="138"/>
    </row>
    <row r="41">
      <c r="A41" s="164" t="s">
        <v>339</v>
      </c>
      <c r="B41" s="164" t="s">
        <v>340</v>
      </c>
      <c r="C41" s="173" t="s">
        <v>16</v>
      </c>
      <c r="D41" s="174"/>
      <c r="E41" s="173" t="s">
        <v>341</v>
      </c>
      <c r="F41" s="174"/>
    </row>
    <row r="42">
      <c r="A42" s="1">
        <v>1.0</v>
      </c>
      <c r="B42" s="1" t="s">
        <v>342</v>
      </c>
      <c r="C42" s="175" t="s">
        <v>343</v>
      </c>
      <c r="E42" s="176" t="s">
        <v>344</v>
      </c>
    </row>
    <row r="43">
      <c r="A43" s="1">
        <v>2.0</v>
      </c>
      <c r="B43" s="1" t="s">
        <v>345</v>
      </c>
      <c r="C43" s="175" t="s">
        <v>346</v>
      </c>
      <c r="E43" s="176"/>
    </row>
    <row r="44">
      <c r="A44" s="1" t="s">
        <v>347</v>
      </c>
      <c r="B44" s="1" t="s">
        <v>348</v>
      </c>
      <c r="C44" s="177" t="s">
        <v>349</v>
      </c>
      <c r="E44" s="178" t="s">
        <v>350</v>
      </c>
    </row>
    <row r="45">
      <c r="A45" s="1" t="s">
        <v>351</v>
      </c>
      <c r="B45" s="1" t="s">
        <v>352</v>
      </c>
      <c r="C45" s="179" t="s">
        <v>353</v>
      </c>
      <c r="E45" s="178" t="s">
        <v>354</v>
      </c>
    </row>
    <row r="46">
      <c r="A46" s="1">
        <v>4.0</v>
      </c>
      <c r="B46" s="1" t="s">
        <v>355</v>
      </c>
      <c r="C46" s="175" t="s">
        <v>356</v>
      </c>
      <c r="E46" s="176"/>
    </row>
    <row r="47">
      <c r="A47" s="1" t="s">
        <v>357</v>
      </c>
      <c r="B47" s="1" t="s">
        <v>358</v>
      </c>
      <c r="C47" s="175" t="s">
        <v>359</v>
      </c>
      <c r="E47" s="176" t="s">
        <v>360</v>
      </c>
    </row>
    <row r="48">
      <c r="A48" s="1" t="s">
        <v>361</v>
      </c>
      <c r="B48" s="1" t="s">
        <v>362</v>
      </c>
      <c r="C48" s="175" t="s">
        <v>363</v>
      </c>
      <c r="E48" s="176" t="s">
        <v>364</v>
      </c>
    </row>
    <row r="49">
      <c r="A49" s="1">
        <v>6.0</v>
      </c>
      <c r="B49" s="1" t="s">
        <v>80</v>
      </c>
      <c r="C49" s="175" t="s">
        <v>365</v>
      </c>
      <c r="E49" s="176"/>
    </row>
    <row r="50">
      <c r="A50" s="108"/>
      <c r="B50" s="108"/>
      <c r="C50" s="176"/>
      <c r="E50" s="176"/>
    </row>
    <row r="51">
      <c r="A51" s="123" t="s">
        <v>235</v>
      </c>
      <c r="B51" s="123" t="s">
        <v>294</v>
      </c>
      <c r="C51" s="138"/>
      <c r="D51" s="138"/>
    </row>
    <row r="52">
      <c r="A52" s="164" t="s">
        <v>339</v>
      </c>
      <c r="B52" s="164" t="s">
        <v>340</v>
      </c>
      <c r="C52" s="173" t="s">
        <v>16</v>
      </c>
      <c r="D52" s="174"/>
      <c r="E52" s="173" t="s">
        <v>341</v>
      </c>
      <c r="F52" s="174"/>
    </row>
    <row r="53">
      <c r="A53" s="1">
        <v>0.0</v>
      </c>
      <c r="B53" s="1" t="s">
        <v>345</v>
      </c>
      <c r="C53" s="176" t="s">
        <v>366</v>
      </c>
      <c r="E53" s="176"/>
      <c r="F53" s="176"/>
    </row>
    <row r="54">
      <c r="A54" s="1">
        <v>1.0</v>
      </c>
      <c r="B54" s="1" t="s">
        <v>367</v>
      </c>
      <c r="C54" s="176" t="s">
        <v>368</v>
      </c>
      <c r="E54" s="176"/>
    </row>
    <row r="55">
      <c r="A55" s="1">
        <v>2.0</v>
      </c>
      <c r="B55" s="1" t="s">
        <v>369</v>
      </c>
      <c r="C55" s="176" t="s">
        <v>370</v>
      </c>
      <c r="E55" s="176"/>
    </row>
    <row r="56">
      <c r="A56" s="1" t="s">
        <v>347</v>
      </c>
      <c r="B56" s="1" t="s">
        <v>371</v>
      </c>
      <c r="C56" s="180" t="s">
        <v>372</v>
      </c>
      <c r="E56" s="178" t="s">
        <v>373</v>
      </c>
    </row>
    <row r="57">
      <c r="A57" s="1" t="s">
        <v>351</v>
      </c>
      <c r="B57" s="1" t="s">
        <v>48</v>
      </c>
      <c r="C57" s="180" t="s">
        <v>374</v>
      </c>
      <c r="E57" s="181" t="s">
        <v>375</v>
      </c>
    </row>
    <row r="58">
      <c r="A58" s="1">
        <v>4.0</v>
      </c>
      <c r="B58" s="1" t="s">
        <v>376</v>
      </c>
      <c r="C58" s="176" t="s">
        <v>377</v>
      </c>
      <c r="E58" s="176" t="s">
        <v>378</v>
      </c>
    </row>
    <row r="59">
      <c r="A59" s="1">
        <v>5.0</v>
      </c>
      <c r="B59" s="182" t="s">
        <v>298</v>
      </c>
      <c r="C59" s="176" t="s">
        <v>379</v>
      </c>
      <c r="E59" s="176"/>
    </row>
    <row r="60">
      <c r="A60" s="1">
        <v>6.0</v>
      </c>
      <c r="B60" s="11" t="s">
        <v>380</v>
      </c>
      <c r="C60" s="176" t="s">
        <v>381</v>
      </c>
      <c r="E60" s="176"/>
    </row>
    <row r="61">
      <c r="A61" s="1"/>
      <c r="B61" s="1"/>
      <c r="C61" s="176"/>
      <c r="E61" s="176"/>
    </row>
    <row r="62">
      <c r="A62" s="123" t="s">
        <v>235</v>
      </c>
      <c r="B62" s="183" t="s">
        <v>298</v>
      </c>
      <c r="C62" s="138"/>
      <c r="D62" s="138"/>
    </row>
    <row r="63">
      <c r="A63" s="164" t="s">
        <v>339</v>
      </c>
      <c r="B63" s="164" t="s">
        <v>340</v>
      </c>
      <c r="C63" s="173" t="s">
        <v>16</v>
      </c>
      <c r="D63" s="174"/>
      <c r="E63" s="173" t="s">
        <v>341</v>
      </c>
      <c r="F63" s="174"/>
    </row>
    <row r="64">
      <c r="A64" s="1" t="s">
        <v>382</v>
      </c>
      <c r="B64" s="1" t="s">
        <v>383</v>
      </c>
      <c r="C64" s="176" t="s">
        <v>384</v>
      </c>
      <c r="E64" s="176"/>
    </row>
    <row r="65">
      <c r="A65" s="1" t="s">
        <v>385</v>
      </c>
      <c r="B65" s="1" t="s">
        <v>386</v>
      </c>
      <c r="C65" s="176" t="s">
        <v>387</v>
      </c>
      <c r="E65" s="176"/>
    </row>
    <row r="66">
      <c r="A66" s="1">
        <v>2.0</v>
      </c>
      <c r="B66" s="1" t="s">
        <v>282</v>
      </c>
      <c r="C66" s="180" t="s">
        <v>388</v>
      </c>
      <c r="E66" s="178"/>
    </row>
    <row r="67">
      <c r="A67" s="1"/>
      <c r="B67" s="1"/>
      <c r="C67" s="138"/>
      <c r="D67" s="138"/>
      <c r="E67" s="184"/>
      <c r="F67" s="176"/>
    </row>
    <row r="68">
      <c r="A68" s="1"/>
      <c r="B68" s="1"/>
      <c r="C68" s="138"/>
      <c r="D68" s="138"/>
      <c r="E68" s="184"/>
      <c r="F68" s="176"/>
    </row>
  </sheetData>
  <mergeCells count="66">
    <mergeCell ref="E56:F56"/>
    <mergeCell ref="E57:F57"/>
    <mergeCell ref="E47:F47"/>
    <mergeCell ref="E48:F48"/>
    <mergeCell ref="E49:F49"/>
    <mergeCell ref="E50:F50"/>
    <mergeCell ref="E52:F52"/>
    <mergeCell ref="E54:F54"/>
    <mergeCell ref="E55:F55"/>
    <mergeCell ref="C54:D54"/>
    <mergeCell ref="C55:D55"/>
    <mergeCell ref="C56:D56"/>
    <mergeCell ref="C57:D57"/>
    <mergeCell ref="C58:D58"/>
    <mergeCell ref="E58:F58"/>
    <mergeCell ref="E59:F59"/>
    <mergeCell ref="C65:D65"/>
    <mergeCell ref="E65:F65"/>
    <mergeCell ref="C66:D66"/>
    <mergeCell ref="E66:F66"/>
    <mergeCell ref="C59:D59"/>
    <mergeCell ref="C60:D60"/>
    <mergeCell ref="C61:D61"/>
    <mergeCell ref="C63:D63"/>
    <mergeCell ref="E63:F63"/>
    <mergeCell ref="C64:D64"/>
    <mergeCell ref="E64:F64"/>
    <mergeCell ref="B6:B8"/>
    <mergeCell ref="C6:C8"/>
    <mergeCell ref="A2:A3"/>
    <mergeCell ref="B2:B3"/>
    <mergeCell ref="C2:C3"/>
    <mergeCell ref="A4:A5"/>
    <mergeCell ref="B4:B5"/>
    <mergeCell ref="C4:C5"/>
    <mergeCell ref="A6:A8"/>
    <mergeCell ref="A13:A14"/>
    <mergeCell ref="B13:B14"/>
    <mergeCell ref="C13:C14"/>
    <mergeCell ref="A15:A17"/>
    <mergeCell ref="B15:B17"/>
    <mergeCell ref="C15:C17"/>
    <mergeCell ref="E21:E22"/>
    <mergeCell ref="A28:A29"/>
    <mergeCell ref="B28:B29"/>
    <mergeCell ref="C28:C29"/>
    <mergeCell ref="C41:D41"/>
    <mergeCell ref="E41:F41"/>
    <mergeCell ref="C42:D42"/>
    <mergeCell ref="E42:F42"/>
    <mergeCell ref="C43:D43"/>
    <mergeCell ref="E43:F43"/>
    <mergeCell ref="C44:D44"/>
    <mergeCell ref="E44:F44"/>
    <mergeCell ref="C45:D45"/>
    <mergeCell ref="E45:F45"/>
    <mergeCell ref="E46:F46"/>
    <mergeCell ref="C46:D46"/>
    <mergeCell ref="C47:D47"/>
    <mergeCell ref="C48:D48"/>
    <mergeCell ref="C49:D49"/>
    <mergeCell ref="C50:D50"/>
    <mergeCell ref="C52:D52"/>
    <mergeCell ref="C53:D53"/>
    <mergeCell ref="E60:F60"/>
    <mergeCell ref="E61:F61"/>
  </mergeCells>
  <hyperlinks>
    <hyperlink display="If the item has a Special Function, perform that event. These are defined under the Item Descriptions (Columns O-Q)." location="'All Content (Mobs, Items)'!A1" ref="C44"/>
  </hyperlink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6" width="11.13"/>
  </cols>
  <sheetData>
    <row r="1">
      <c r="A1" s="185" t="s">
        <v>389</v>
      </c>
      <c r="B1" s="185" t="s">
        <v>390</v>
      </c>
    </row>
    <row r="2">
      <c r="A2" s="131" t="s">
        <v>391</v>
      </c>
      <c r="B2" s="172" t="s">
        <v>389</v>
      </c>
    </row>
    <row r="3">
      <c r="B3" s="172" t="s">
        <v>392</v>
      </c>
      <c r="C3" s="131" t="s">
        <v>393</v>
      </c>
    </row>
    <row r="4">
      <c r="B4" s="172" t="s">
        <v>394</v>
      </c>
      <c r="C4" s="131" t="s">
        <v>194</v>
      </c>
      <c r="D4" s="131" t="s">
        <v>125</v>
      </c>
      <c r="E4" s="131" t="s">
        <v>166</v>
      </c>
      <c r="F4" s="131" t="s">
        <v>187</v>
      </c>
    </row>
  </sheetData>
  <drawing r:id="rId1"/>
</worksheet>
</file>